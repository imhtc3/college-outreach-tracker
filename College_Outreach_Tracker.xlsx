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uide" sheetId="1" state="visible" r:id="rId3"/>
    <sheet name="Dashboard" sheetId="2" state="visible" r:id="rId4"/>
    <sheet name="Colleges" sheetId="3" state="visible" r:id="rId5"/>
    <sheet name="Outreach Log" sheetId="4" state="visible" r:id="rId6"/>
    <sheet name="Daily Metrics" sheetId="5" state="visible" r:id="rId7"/>
    <sheet name="Templates" sheetId="6" state="visible" r:id="rId8"/>
  </sheets>
  <definedNames>
    <definedName function="false" hidden="true" localSheetId="2" name="_xlnm._FilterDatabase" vbProcedure="false">Colleges!$A$1:$N$31</definedName>
    <definedName function="false" hidden="true" localSheetId="3" name="_xlnm._FilterDatabase" vbProcedure="false">'Outreach Log'!$A$1:$G$104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<sst xmlns="http://schemas.openxmlformats.org/spreadsheetml/2006/main" count="720" uniqueCount="183">
  <si>
    <t xml:space="preserve">College Outreach Campaign Tracker</t>
  </si>
  <si>
    <t xml:space="preserve">What it does</t>
  </si>
  <si>
    <t xml:space="preserve">Tracks a college outreach campaign end to end: which colleges and TPOs were contacted, by which channel, what they said, when to follow up, and how many students registered and applied.</t>
  </si>
  <si>
    <t xml:space="preserve">How to use</t>
  </si>
  <si>
    <t xml:space="preserve">1. Add colleges on the Colleges sheet.
2. Log every call, email or WhatsApp message on Outreach Log (one row per touch).
3. Update status, students reached, registrations and applications for each college.
4. Enter daily registrations and applications on Daily Metrics.
5. Check Dashboard for the funnel, channel response rates and follow-ups due.</t>
  </si>
  <si>
    <t xml:space="preserve">Legend</t>
  </si>
  <si>
    <t xml:space="preserve">Yellow cells are inputs you type. White cells are formulas: don't overwrite them. Red 'Yes' on Colleges means a follow-up is due.</t>
  </si>
  <si>
    <t xml:space="preserve">Follow-up rule</t>
  </si>
  <si>
    <t xml:space="preserve">Colleges that are Contacted or Interested get a follow-up date 3 days after the last touch (change the gap on Dashboard).</t>
  </si>
  <si>
    <t xml:space="preserve">Data note</t>
  </si>
  <si>
    <t xml:space="preserve">All colleges, contacts and numbers here are fictional sample data for demonstration (1–14 Oct 2026). Replace them with your real campaign data.</t>
  </si>
  <si>
    <t xml:space="preserve">College Outreach Campaign: Dashboard</t>
  </si>
  <si>
    <t xml:space="preserve">Report date</t>
  </si>
  <si>
    <t xml:space="preserve">Edit the yellow cells. Everything else updates on its own.</t>
  </si>
  <si>
    <t xml:space="preserve">Follow-up gap (days)</t>
  </si>
  <si>
    <t xml:space="preserve">Key numbers</t>
  </si>
  <si>
    <t xml:space="preserve">Campaign funnel</t>
  </si>
  <si>
    <t xml:space="preserve">Count</t>
  </si>
  <si>
    <t xml:space="preserve">Channel</t>
  </si>
  <si>
    <t xml:space="preserve">Touches</t>
  </si>
  <si>
    <t xml:space="preserve">Positive</t>
  </si>
  <si>
    <t xml:space="preserve">Response rate</t>
  </si>
  <si>
    <t xml:space="preserve">Colleges in list</t>
  </si>
  <si>
    <t xml:space="preserve">Colleges contacted</t>
  </si>
  <si>
    <t xml:space="preserve">Call</t>
  </si>
  <si>
    <t xml:space="preserve">Colleges interested or onboarded</t>
  </si>
  <si>
    <t xml:space="preserve">Email</t>
  </si>
  <si>
    <t xml:space="preserve">Colleges onboarded</t>
  </si>
  <si>
    <t xml:space="preserve">WhatsApp</t>
  </si>
  <si>
    <t xml:space="preserve">Total outreach touches</t>
  </si>
  <si>
    <t xml:space="preserve">Positive response rate</t>
  </si>
  <si>
    <t xml:space="preserve">College status</t>
  </si>
  <si>
    <t xml:space="preserve">Colleges</t>
  </si>
  <si>
    <t xml:space="preserve">City</t>
  </si>
  <si>
    <t xml:space="preserve">Onboarded</t>
  </si>
  <si>
    <t xml:space="preserve">Registrations</t>
  </si>
  <si>
    <t xml:space="preserve">Students reached</t>
  </si>
  <si>
    <t xml:space="preserve">Not contacted</t>
  </si>
  <si>
    <t xml:space="preserve">Delhi</t>
  </si>
  <si>
    <t xml:space="preserve">Contacted</t>
  </si>
  <si>
    <t xml:space="preserve">Noida</t>
  </si>
  <si>
    <t xml:space="preserve">Applications</t>
  </si>
  <si>
    <t xml:space="preserve">Interested</t>
  </si>
  <si>
    <t xml:space="preserve">Gurugram</t>
  </si>
  <si>
    <t xml:space="preserve">Registration rate (of reached)</t>
  </si>
  <si>
    <t xml:space="preserve">Ghaziabad</t>
  </si>
  <si>
    <t xml:space="preserve">Application rate (of registered)</t>
  </si>
  <si>
    <t xml:space="preserve">Not interested</t>
  </si>
  <si>
    <t xml:space="preserve">Faridabad</t>
  </si>
  <si>
    <t xml:space="preserve">Follow-ups due now</t>
  </si>
  <si>
    <t xml:space="preserve">Greater Noida</t>
  </si>
  <si>
    <t xml:space="preserve">College ID</t>
  </si>
  <si>
    <t xml:space="preserve">College</t>
  </si>
  <si>
    <t xml:space="preserve">Type</t>
  </si>
  <si>
    <t xml:space="preserve">TPO (contact)</t>
  </si>
  <si>
    <t xml:space="preserve">Preferred channel</t>
  </si>
  <si>
    <t xml:space="preserve">Status</t>
  </si>
  <si>
    <t xml:space="preserve">Touches logged</t>
  </si>
  <si>
    <t xml:space="preserve">Last contact</t>
  </si>
  <si>
    <t xml:space="preserve">Next follow-up</t>
  </si>
  <si>
    <t xml:space="preserve">Follow-up due?</t>
  </si>
  <si>
    <t xml:space="preserve">C001</t>
  </si>
  <si>
    <t xml:space="preserve">Northgate College of Arts &amp; Science</t>
  </si>
  <si>
    <t xml:space="preserve">Arts &amp; Science</t>
  </si>
  <si>
    <t xml:space="preserve">Sanjay Sharma (sample)</t>
  </si>
  <si>
    <t xml:space="preserve">C002</t>
  </si>
  <si>
    <t xml:space="preserve">Riverside Institute of Technology</t>
  </si>
  <si>
    <t xml:space="preserve">Engineering</t>
  </si>
  <si>
    <t xml:space="preserve">Kavita Sharma (sample)</t>
  </si>
  <si>
    <t xml:space="preserve">C003</t>
  </si>
  <si>
    <t xml:space="preserve">Sunrise Institute of Technology</t>
  </si>
  <si>
    <t xml:space="preserve">Sanjay Arora (sample)</t>
  </si>
  <si>
    <t xml:space="preserve">C004</t>
  </si>
  <si>
    <t xml:space="preserve">Lakeview Institute of Technology</t>
  </si>
  <si>
    <t xml:space="preserve">C005</t>
  </si>
  <si>
    <t xml:space="preserve">Greenfield School of Management</t>
  </si>
  <si>
    <t xml:space="preserve">Management</t>
  </si>
  <si>
    <t xml:space="preserve">Amit Bansal (sample)</t>
  </si>
  <si>
    <t xml:space="preserve">C006</t>
  </si>
  <si>
    <t xml:space="preserve">Crescent College of Commerce</t>
  </si>
  <si>
    <t xml:space="preserve">Commerce</t>
  </si>
  <si>
    <t xml:space="preserve">Meena Sharma (sample)</t>
  </si>
  <si>
    <t xml:space="preserve">C007</t>
  </si>
  <si>
    <t xml:space="preserve">Silver Oak School of Management</t>
  </si>
  <si>
    <t xml:space="preserve">Sanjay Gupta (sample)</t>
  </si>
  <si>
    <t xml:space="preserve">C008</t>
  </si>
  <si>
    <t xml:space="preserve">Maple College of Arts &amp; Science</t>
  </si>
  <si>
    <t xml:space="preserve">Shalini Gupta (sample)</t>
  </si>
  <si>
    <t xml:space="preserve">C009</t>
  </si>
  <si>
    <t xml:space="preserve">Horizon School of Management</t>
  </si>
  <si>
    <t xml:space="preserve">Sunita Malhotra (sample)</t>
  </si>
  <si>
    <t xml:space="preserve">C010</t>
  </si>
  <si>
    <t xml:space="preserve">Pinecrest Institute of Technology</t>
  </si>
  <si>
    <t xml:space="preserve">Meena Jain (sample)</t>
  </si>
  <si>
    <t xml:space="preserve">C011</t>
  </si>
  <si>
    <t xml:space="preserve">Westbrook College of Commerce</t>
  </si>
  <si>
    <t xml:space="preserve">Neha Bansal (sample)</t>
  </si>
  <si>
    <t xml:space="preserve">C012</t>
  </si>
  <si>
    <t xml:space="preserve">Eastwood College of Arts &amp; Science</t>
  </si>
  <si>
    <t xml:space="preserve">Deepak Gupta (sample)</t>
  </si>
  <si>
    <t xml:space="preserve">C013</t>
  </si>
  <si>
    <t xml:space="preserve">Bluebell School of Management</t>
  </si>
  <si>
    <t xml:space="preserve">Kavita Kumar (sample)</t>
  </si>
  <si>
    <t xml:space="preserve">C014</t>
  </si>
  <si>
    <t xml:space="preserve">Summit College of Arts &amp; Science</t>
  </si>
  <si>
    <t xml:space="preserve">Neha Kumar (sample)</t>
  </si>
  <si>
    <t xml:space="preserve">C015</t>
  </si>
  <si>
    <t xml:space="preserve">Kingsway Institute of Technology</t>
  </si>
  <si>
    <t xml:space="preserve">C016</t>
  </si>
  <si>
    <t xml:space="preserve">Oakridge College of Commerce</t>
  </si>
  <si>
    <t xml:space="preserve">Anil Verma (sample)</t>
  </si>
  <si>
    <t xml:space="preserve">C017</t>
  </si>
  <si>
    <t xml:space="preserve">Brightwater College of Arts &amp; Science</t>
  </si>
  <si>
    <t xml:space="preserve">Ritu Mehta (sample)</t>
  </si>
  <si>
    <t xml:space="preserve">C018</t>
  </si>
  <si>
    <t xml:space="preserve">Highland College of Commerce</t>
  </si>
  <si>
    <t xml:space="preserve">Shalini Verma (sample)</t>
  </si>
  <si>
    <t xml:space="preserve">C019</t>
  </si>
  <si>
    <t xml:space="preserve">Starlight Institute of Technology</t>
  </si>
  <si>
    <t xml:space="preserve">Ritu Kumar (sample)</t>
  </si>
  <si>
    <t xml:space="preserve">C020</t>
  </si>
  <si>
    <t xml:space="preserve">Meadow College of Commerce</t>
  </si>
  <si>
    <t xml:space="preserve">Ritu Arora (sample)</t>
  </si>
  <si>
    <t xml:space="preserve">C021</t>
  </si>
  <si>
    <t xml:space="preserve">Redwood Institute of Technology</t>
  </si>
  <si>
    <t xml:space="preserve">Pooja Gupta (sample)</t>
  </si>
  <si>
    <t xml:space="preserve">C022</t>
  </si>
  <si>
    <t xml:space="preserve">Clearview College of Commerce</t>
  </si>
  <si>
    <t xml:space="preserve">Meena Kumar (sample)</t>
  </si>
  <si>
    <t xml:space="preserve">C023</t>
  </si>
  <si>
    <t xml:space="preserve">Fairmont School of Management</t>
  </si>
  <si>
    <t xml:space="preserve">Sanjay Jain (sample)</t>
  </si>
  <si>
    <t xml:space="preserve">C024</t>
  </si>
  <si>
    <t xml:space="preserve">Goldcrest College of Commerce</t>
  </si>
  <si>
    <t xml:space="preserve">Rajiv Kumar (sample)</t>
  </si>
  <si>
    <t xml:space="preserve">C025</t>
  </si>
  <si>
    <t xml:space="preserve">Hillside College of Commerce</t>
  </si>
  <si>
    <t xml:space="preserve">Vikas Arora (sample)</t>
  </si>
  <si>
    <t xml:space="preserve">C026</t>
  </si>
  <si>
    <t xml:space="preserve">Ivory College of Commerce</t>
  </si>
  <si>
    <t xml:space="preserve">Rakesh Verma (sample)</t>
  </si>
  <si>
    <t xml:space="preserve">C027</t>
  </si>
  <si>
    <t xml:space="preserve">Juniper School of Management</t>
  </si>
  <si>
    <t xml:space="preserve">C028</t>
  </si>
  <si>
    <t xml:space="preserve">Lotus School of Management</t>
  </si>
  <si>
    <t xml:space="preserve">Vikas Sharma (sample)</t>
  </si>
  <si>
    <t xml:space="preserve">C029</t>
  </si>
  <si>
    <t xml:space="preserve">Marigold College of Arts &amp; Science</t>
  </si>
  <si>
    <t xml:space="preserve">Kavita Mehta (sample)</t>
  </si>
  <si>
    <t xml:space="preserve">C030</t>
  </si>
  <si>
    <t xml:space="preserve">Neelkanth Institute of Technology</t>
  </si>
  <si>
    <t xml:space="preserve">Manoj Malhotra (sample)</t>
  </si>
  <si>
    <t xml:space="preserve">Date</t>
  </si>
  <si>
    <t xml:space="preserve">Outcome</t>
  </si>
  <si>
    <t xml:space="preserve">Positive?</t>
  </si>
  <si>
    <t xml:space="preserve">TPO</t>
  </si>
  <si>
    <t xml:space="preserve">No answer</t>
  </si>
  <si>
    <t xml:space="preserve">Asked to email</t>
  </si>
  <si>
    <t xml:space="preserve">Shared with students</t>
  </si>
  <si>
    <t xml:space="preserve">Student group</t>
  </si>
  <si>
    <t xml:space="preserve">Queries resolved</t>
  </si>
  <si>
    <t xml:space="preserve">Message shared</t>
  </si>
  <si>
    <t xml:space="preserve">Follow-up requested</t>
  </si>
  <si>
    <t xml:space="preserve">Registration help</t>
  </si>
  <si>
    <t xml:space="preserve">Calls</t>
  </si>
  <si>
    <t xml:space="preserve">Emails</t>
  </si>
  <si>
    <t xml:space="preserve">Total touches</t>
  </si>
  <si>
    <t xml:space="preserve">Positive responses</t>
  </si>
  <si>
    <t xml:space="preserve">New registrations</t>
  </si>
  <si>
    <t xml:space="preserve">New applications</t>
  </si>
  <si>
    <t xml:space="preserve">Total</t>
  </si>
  <si>
    <t xml:space="preserve">Use</t>
  </si>
  <si>
    <t xml:space="preserve">Message</t>
  </si>
  <si>
    <t xml:space="preserve">TPO: first email</t>
  </si>
  <si>
    <t xml:space="preserve">Subject: Career opportunities for your students – quick registration
Dear [TPO name],
I hope you're doing well. I'm reaching out about [initiative name], a free career programme that connects students with internships and jobs from [type of companies].
Students only need to register through this link: [link]. It takes about two minutes.
Could you share it with your final- and pre-final-year students? I'm happy to send a short poster or join a quick call to answer questions.
Thank you,
[Your name]
[Phone]</t>
  </si>
  <si>
    <t xml:space="preserve">TPO: phone call script</t>
  </si>
  <si>
    <t xml:space="preserve">1. Introduce yourself and the initiative in one line.
2. Ask: 'Is this a good time for two minutes?'
3. Explain the benefit for students (free, quick sign-up, real openings).
4. Ask how they prefer to share it: email, WhatsApp groups or a notice.
5. Confirm next step and date; log the call outcome right after.</t>
  </si>
  <si>
    <t xml:space="preserve">TPO: follow-up (after 3 days)</t>
  </si>
  <si>
    <t xml:space="preserve">Dear [TPO name], just following up on my note about [initiative name]. Registrations close on [date]. I've attached a ready-to-share poster for your students. Please let me know if anything is unclear.</t>
  </si>
  <si>
    <t xml:space="preserve">Students: WhatsApp group message</t>
  </si>
  <si>
    <t xml:space="preserve">Hi everyone! [Initiative name] is open for registrations. Free to join, with internship and job openings from [companies]. Register in 2 minutes: [link]. Last date: [date]. Message me here if you get stuck.</t>
  </si>
  <si>
    <t xml:space="preserve">Students: registration reminder</t>
  </si>
  <si>
    <t xml:space="preserve">Reminder: [initiative name] registrations close on [date]. If you've registered, don't forget to apply to openings that match you: [link].</t>
  </si>
</sst>
</file>

<file path=xl/styles.xml><?xml version="1.0" encoding="utf-8"?>
<styleSheet xmlns="http://schemas.openxmlformats.org/spreadsheetml/2006/main">
  <numFmts count="7">
    <numFmt numFmtId="164" formatCode="General"/>
    <numFmt numFmtId="165" formatCode="dd\-mmm\-yy"/>
    <numFmt numFmtId="166" formatCode="0"/>
    <numFmt numFmtId="167" formatCode="0.0%"/>
    <numFmt numFmtId="168" formatCode="#,##0"/>
    <numFmt numFmtId="169" formatCode="0%"/>
    <numFmt numFmtId="170"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b val="true"/>
      <sz val="11"/>
      <color rgb="FF1F3A5F"/>
      <name val="Arial"/>
      <family val="0"/>
      <charset val="1"/>
    </font>
    <font>
      <sz val="11"/>
      <name val="Arial"/>
      <family val="0"/>
      <charset val="1"/>
    </font>
    <font>
      <b val="true"/>
      <sz val="11"/>
      <color rgb="FF0000FF"/>
      <name val="Arial"/>
      <family val="0"/>
      <charset val="1"/>
    </font>
    <font>
      <i val="true"/>
      <sz val="9"/>
      <color rgb="FF666666"/>
      <name val="Arial"/>
      <family val="0"/>
      <charset val="1"/>
    </font>
    <font>
      <b val="true"/>
      <sz val="11"/>
      <color rgb="FFFFFFFF"/>
      <name val="Arial"/>
      <family val="0"/>
      <charset val="1"/>
    </font>
    <font>
      <b val="true"/>
      <sz val="11"/>
      <name val="Arial"/>
      <family val="0"/>
      <charset val="1"/>
    </font>
    <font>
      <b val="true"/>
      <sz val="18"/>
      <color rgb="FF000000"/>
      <name val="Calibri"/>
      <family val="2"/>
    </font>
    <font>
      <sz val="10"/>
      <color rgb="FF000000"/>
      <name val="Calibri"/>
      <family val="2"/>
    </font>
    <font>
      <sz val="10"/>
      <name val="Arial"/>
      <family val="0"/>
      <charset val="1"/>
    </font>
    <font>
      <b val="true"/>
      <sz val="10"/>
      <color rgb="FF000000"/>
      <name val="Calibri"/>
      <family val="2"/>
    </font>
  </fonts>
  <fills count="5">
    <fill>
      <patternFill patternType="none"/>
    </fill>
    <fill>
      <patternFill patternType="gray125"/>
    </fill>
    <fill>
      <patternFill patternType="solid">
        <fgColor rgb="FFFFF2CC"/>
        <bgColor rgb="FFEAF0F7"/>
      </patternFill>
    </fill>
    <fill>
      <patternFill patternType="solid">
        <fgColor rgb="FF1F3A5F"/>
        <bgColor rgb="FF333333"/>
      </patternFill>
    </fill>
    <fill>
      <patternFill patternType="solid">
        <fgColor rgb="FFEAF0F7"/>
        <bgColor rgb="FFD4EDDA"/>
      </patternFill>
    </fill>
  </fills>
  <borders count="2">
    <border diagonalUp="false" diagonalDown="false">
      <left/>
      <right/>
      <top/>
      <bottom/>
      <diagonal/>
    </border>
    <border diagonalUp="false" diagonalDown="false">
      <left style="thin">
        <color rgb="FFC9D3E0"/>
      </left>
      <right style="thin">
        <color rgb="FFC9D3E0"/>
      </right>
      <top style="thin">
        <color rgb="FFC9D3E0"/>
      </top>
      <bottom style="thin">
        <color rgb="FFC9D3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3" fillId="2"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65" fontId="13" fillId="2" borderId="1" xfId="0" applyFont="true" applyBorder="tru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7" fontId="13" fillId="4"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A5F"/>
          <bgColor rgb="FF000000"/>
        </patternFill>
      </fill>
    </dxf>
    <dxf>
      <fill>
        <patternFill patternType="solid">
          <fgColor rgb="FFEAF0F7"/>
          <bgColor rgb="FF000000"/>
        </patternFill>
      </fill>
    </dxf>
    <dxf>
      <fill>
        <patternFill patternType="solid">
          <bgColor rgb="FF000000"/>
        </patternFill>
      </fill>
    </dxf>
    <dxf>
      <fill>
        <patternFill patternType="solid">
          <fgColor rgb="FFFFFFFF"/>
          <bgColor rgb="FF000000"/>
        </patternFill>
      </fill>
    </dxf>
    <dxf>
      <fill>
        <patternFill patternType="solid">
          <fgColor rgb="FFD4EDDA"/>
          <bgColor rgb="FF000000"/>
        </patternFill>
      </fill>
    </dxf>
    <dxf>
      <fill>
        <patternFill patternType="solid">
          <fgColor rgb="FFFFF2CC"/>
          <bgColor rgb="FF000000"/>
        </patternFill>
      </fill>
    </dxf>
    <dxf>
      <fill>
        <patternFill patternType="solid">
          <fgColor rgb="FFF8D7DA"/>
          <bgColor rgb="FF000000"/>
        </patternFill>
      </fill>
    </dxf>
    <dxf>
      <fill>
        <patternFill patternType="solid">
          <fgColor rgb="FF9C0006"/>
          <bgColor rgb="FF000000"/>
        </patternFill>
      </fill>
    </dxf>
    <dxf>
      <font>
        <name val="Arial"/>
        <charset val="1"/>
        <family val="0"/>
        <b val="1"/>
        <color rgb="FF9C0006"/>
      </font>
      <fill>
        <patternFill>
          <bgColor rgb="FFF8D7DA"/>
        </patternFill>
      </fill>
    </dxf>
    <dxf>
      <fill>
        <patternFill>
          <bgColor rgb="FFD4EDDA"/>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878787"/>
      <rgbColor rgb="FF9999FF"/>
      <rgbColor rgb="FFBE4B48"/>
      <rgbColor rgb="FFFFF2CC"/>
      <rgbColor rgb="FFEAF0F7"/>
      <rgbColor rgb="FF660066"/>
      <rgbColor rgb="FFFF8080"/>
      <rgbColor rgb="FF0066CC"/>
      <rgbColor rgb="FFC9D3E0"/>
      <rgbColor rgb="FF000080"/>
      <rgbColor rgb="FFFF00FF"/>
      <rgbColor rgb="FFFFFF00"/>
      <rgbColor rgb="FF00FFFF"/>
      <rgbColor rgb="FF800080"/>
      <rgbColor rgb="FF800000"/>
      <rgbColor rgb="FF008080"/>
      <rgbColor rgb="FF0000FF"/>
      <rgbColor rgb="FF00CCFF"/>
      <rgbColor rgb="FFCCFFFF"/>
      <rgbColor rgb="FFD4EDDA"/>
      <rgbColor rgb="FFFFFF99"/>
      <rgbColor rgb="FF99CCFF"/>
      <rgbColor rgb="FFFF99CC"/>
      <rgbColor rgb="FFCC99FF"/>
      <rgbColor rgb="FFF8D7DA"/>
      <rgbColor rgb="FF4A7EBB"/>
      <rgbColor rgb="FF33CCCC"/>
      <rgbColor rgb="FF99CC00"/>
      <rgbColor rgb="FFFFCC00"/>
      <rgbColor rgb="FFFF9900"/>
      <rgbColor rgb="FFFF6600"/>
      <rgbColor rgb="FF666666"/>
      <rgbColor rgb="FF969696"/>
      <rgbColor rgb="FF1F3A5F"/>
      <rgbColor rgb="FF4F81BD"/>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College funnel</a:t>
            </a:r>
          </a:p>
        </c:rich>
      </c:tx>
      <c:overlay val="0"/>
      <c:spPr>
        <a:noFill/>
        <a:ln w="0">
          <a:noFill/>
        </a:ln>
      </c:spPr>
    </c:title>
    <c:autoTitleDeleted val="0"/>
    <c:plotArea>
      <c:barChart>
        <c:barDir val="bar"/>
        <c:grouping val="clustered"/>
        <c:varyColors val="0"/>
        <c:ser>
          <c:idx val="0"/>
          <c:order val="0"/>
          <c:tx>
            <c:strRef>
              <c:f>Dashboard!F5</c:f>
              <c:strCache>
                <c:ptCount val="1"/>
                <c:pt idx="0">
                  <c:v>Count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Dashboard!$E$6:$E$8</c:f>
              <c:strCache>
                <c:ptCount val="3"/>
                <c:pt idx="0">
                  <c:v>Colleges contacted</c:v>
                </c:pt>
                <c:pt idx="1">
                  <c:v>Colleges interested or onboarded</c:v>
                </c:pt>
                <c:pt idx="2">
                  <c:v>Colleges onboarded</c:v>
                </c:pt>
              </c:strCache>
            </c:strRef>
          </c:cat>
          <c:val>
            <c:numRef>
              <c:f>Dashboard!$F$6:$F$8</c:f>
              <c:numCache>
                <c:formatCode>0</c:formatCode>
                <c:ptCount val="3"/>
                <c:pt idx="0">
                  <c:v>26</c:v>
                </c:pt>
                <c:pt idx="1">
                  <c:v>17</c:v>
                </c:pt>
                <c:pt idx="2">
                  <c:v>8</c:v>
                </c:pt>
              </c:numCache>
            </c:numRef>
          </c:val>
        </c:ser>
        <c:gapWidth val="150"/>
        <c:overlap val="0"/>
        <c:axId val="48519206"/>
        <c:axId val="20637756"/>
      </c:barChart>
      <c:catAx>
        <c:axId val="4851920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637756"/>
        <c:crosses val="autoZero"/>
        <c:auto val="1"/>
        <c:lblAlgn val="ctr"/>
        <c:lblOffset val="100"/>
        <c:noMultiLvlLbl val="0"/>
      </c:catAx>
      <c:valAx>
        <c:axId val="20637756"/>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51920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Response rate by channel</a:t>
            </a:r>
          </a:p>
        </c:rich>
      </c:tx>
      <c:overlay val="0"/>
      <c:spPr>
        <a:noFill/>
        <a:ln w="0">
          <a:noFill/>
        </a:ln>
      </c:spPr>
    </c:title>
    <c:autoTitleDeleted val="0"/>
    <c:plotArea>
      <c:barChart>
        <c:barDir val="col"/>
        <c:grouping val="clustered"/>
        <c:varyColors val="0"/>
        <c:ser>
          <c:idx val="0"/>
          <c:order val="0"/>
          <c:tx>
            <c:strRef>
              <c:f>Dashboard!K5</c:f>
              <c:strCache>
                <c:ptCount val="1"/>
                <c:pt idx="0">
                  <c:v>Response rate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Dashboard!$H$6:$H$8</c:f>
              <c:strCache>
                <c:ptCount val="3"/>
                <c:pt idx="0">
                  <c:v>Call</c:v>
                </c:pt>
                <c:pt idx="1">
                  <c:v>Email</c:v>
                </c:pt>
                <c:pt idx="2">
                  <c:v>WhatsApp</c:v>
                </c:pt>
              </c:strCache>
            </c:strRef>
          </c:cat>
          <c:val>
            <c:numRef>
              <c:f>Dashboard!$K$6:$K$8</c:f>
              <c:numCache>
                <c:formatCode>0.0%</c:formatCode>
                <c:ptCount val="3"/>
                <c:pt idx="0">
                  <c:v>0.534883720930233</c:v>
                </c:pt>
                <c:pt idx="1">
                  <c:v>0.384615384615385</c:v>
                </c:pt>
                <c:pt idx="2">
                  <c:v>0.588235294117647</c:v>
                </c:pt>
              </c:numCache>
            </c:numRef>
          </c:val>
        </c:ser>
        <c:gapWidth val="150"/>
        <c:overlap val="0"/>
        <c:axId val="42041987"/>
        <c:axId val="20688301"/>
      </c:barChart>
      <c:catAx>
        <c:axId val="420419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688301"/>
        <c:crosses val="autoZero"/>
        <c:auto val="1"/>
        <c:lblAlgn val="ctr"/>
        <c:lblOffset val="100"/>
        <c:noMultiLvlLbl val="0"/>
      </c:catAx>
      <c:valAx>
        <c:axId val="2068830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04198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Daily registrations vs applications</a:t>
            </a:r>
          </a:p>
        </c:rich>
      </c:tx>
      <c:overlay val="0"/>
      <c:spPr>
        <a:noFill/>
        <a:ln w="0">
          <a:noFill/>
        </a:ln>
      </c:spPr>
    </c:title>
    <c:autoTitleDeleted val="0"/>
    <c:plotArea>
      <c:lineChart>
        <c:grouping val="standard"/>
        <c:varyColors val="0"/>
        <c:ser>
          <c:idx val="0"/>
          <c:order val="0"/>
          <c:tx>
            <c:strRef>
              <c:f>'Daily Metrics'!H1</c:f>
              <c:strCache>
                <c:ptCount val="1"/>
                <c:pt idx="0">
                  <c:v>New registrations</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 Metrics'!$A$2:$A$15</c:f>
              <c:strCache>
                <c:ptCount val="14"/>
                <c:pt idx="0">
                  <c:v>01-Oct-26</c:v>
                </c:pt>
                <c:pt idx="1">
                  <c:v>02-Oct-26</c:v>
                </c:pt>
                <c:pt idx="2">
                  <c:v>03-Oct-26</c:v>
                </c:pt>
                <c:pt idx="3">
                  <c:v>04-Oct-26</c:v>
                </c:pt>
                <c:pt idx="4">
                  <c:v>05-Oct-26</c:v>
                </c:pt>
                <c:pt idx="5">
                  <c:v>06-Oct-26</c:v>
                </c:pt>
                <c:pt idx="6">
                  <c:v>07-Oct-26</c:v>
                </c:pt>
                <c:pt idx="7">
                  <c:v>08-Oct-26</c:v>
                </c:pt>
                <c:pt idx="8">
                  <c:v>09-Oct-26</c:v>
                </c:pt>
                <c:pt idx="9">
                  <c:v>10-Oct-26</c:v>
                </c:pt>
                <c:pt idx="10">
                  <c:v>11-Oct-26</c:v>
                </c:pt>
                <c:pt idx="11">
                  <c:v>12-Oct-26</c:v>
                </c:pt>
                <c:pt idx="12">
                  <c:v>13-Oct-26</c:v>
                </c:pt>
                <c:pt idx="13">
                  <c:v>14-Oct-26</c:v>
                </c:pt>
              </c:strCache>
            </c:strRef>
          </c:cat>
          <c:val>
            <c:numRef>
              <c:f>'Daily Metrics'!$H$2:$H$15</c:f>
              <c:numCache>
                <c:formatCode>General</c:formatCode>
                <c:ptCount val="14"/>
                <c:pt idx="0">
                  <c:v>63</c:v>
                </c:pt>
                <c:pt idx="1">
                  <c:v>44</c:v>
                </c:pt>
                <c:pt idx="2">
                  <c:v>35</c:v>
                </c:pt>
                <c:pt idx="3">
                  <c:v>0</c:v>
                </c:pt>
                <c:pt idx="4">
                  <c:v>49</c:v>
                </c:pt>
                <c:pt idx="5">
                  <c:v>39</c:v>
                </c:pt>
                <c:pt idx="6">
                  <c:v>94</c:v>
                </c:pt>
                <c:pt idx="7">
                  <c:v>66</c:v>
                </c:pt>
                <c:pt idx="8">
                  <c:v>95</c:v>
                </c:pt>
                <c:pt idx="9">
                  <c:v>54</c:v>
                </c:pt>
                <c:pt idx="10">
                  <c:v>0</c:v>
                </c:pt>
                <c:pt idx="11">
                  <c:v>101</c:v>
                </c:pt>
                <c:pt idx="12">
                  <c:v>72</c:v>
                </c:pt>
                <c:pt idx="13">
                  <c:v>84</c:v>
                </c:pt>
              </c:numCache>
            </c:numRef>
          </c:val>
          <c:smooth val="1"/>
        </c:ser>
        <c:ser>
          <c:idx val="1"/>
          <c:order val="1"/>
          <c:tx>
            <c:strRef>
              <c:f>'Daily Metrics'!I1</c:f>
              <c:strCache>
                <c:ptCount val="1"/>
                <c:pt idx="0">
                  <c:v>New applications</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'Daily Metrics'!$A$2:$A$15</c:f>
              <c:strCache>
                <c:ptCount val="14"/>
                <c:pt idx="0">
                  <c:v>01-Oct-26</c:v>
                </c:pt>
                <c:pt idx="1">
                  <c:v>02-Oct-26</c:v>
                </c:pt>
                <c:pt idx="2">
                  <c:v>03-Oct-26</c:v>
                </c:pt>
                <c:pt idx="3">
                  <c:v>04-Oct-26</c:v>
                </c:pt>
                <c:pt idx="4">
                  <c:v>05-Oct-26</c:v>
                </c:pt>
                <c:pt idx="5">
                  <c:v>06-Oct-26</c:v>
                </c:pt>
                <c:pt idx="6">
                  <c:v>07-Oct-26</c:v>
                </c:pt>
                <c:pt idx="7">
                  <c:v>08-Oct-26</c:v>
                </c:pt>
                <c:pt idx="8">
                  <c:v>09-Oct-26</c:v>
                </c:pt>
                <c:pt idx="9">
                  <c:v>10-Oct-26</c:v>
                </c:pt>
                <c:pt idx="10">
                  <c:v>11-Oct-26</c:v>
                </c:pt>
                <c:pt idx="11">
                  <c:v>12-Oct-26</c:v>
                </c:pt>
                <c:pt idx="12">
                  <c:v>13-Oct-26</c:v>
                </c:pt>
                <c:pt idx="13">
                  <c:v>14-Oct-26</c:v>
                </c:pt>
              </c:strCache>
            </c:strRef>
          </c:cat>
          <c:val>
            <c:numRef>
              <c:f>'Daily Metrics'!$I$2:$I$15</c:f>
              <c:numCache>
                <c:formatCode>General</c:formatCode>
                <c:ptCount val="14"/>
                <c:pt idx="0">
                  <c:v>23</c:v>
                </c:pt>
                <c:pt idx="1">
                  <c:v>14</c:v>
                </c:pt>
                <c:pt idx="2">
                  <c:v>15</c:v>
                </c:pt>
                <c:pt idx="3">
                  <c:v>0</c:v>
                </c:pt>
                <c:pt idx="4">
                  <c:v>17</c:v>
                </c:pt>
                <c:pt idx="5">
                  <c:v>14</c:v>
                </c:pt>
                <c:pt idx="6">
                  <c:v>39</c:v>
                </c:pt>
                <c:pt idx="7">
                  <c:v>32</c:v>
                </c:pt>
                <c:pt idx="8">
                  <c:v>33</c:v>
                </c:pt>
                <c:pt idx="9">
                  <c:v>19</c:v>
                </c:pt>
                <c:pt idx="10">
                  <c:v>0</c:v>
                </c:pt>
                <c:pt idx="11">
                  <c:v>36</c:v>
                </c:pt>
                <c:pt idx="12">
                  <c:v>25</c:v>
                </c:pt>
                <c:pt idx="13">
                  <c:v>32</c:v>
                </c:pt>
              </c:numCache>
            </c:numRef>
          </c:val>
          <c:smooth val="1"/>
        </c:ser>
        <c:hiLowLines>
          <c:spPr>
            <a:ln w="0">
              <a:noFill/>
            </a:ln>
          </c:spPr>
        </c:hiLowLines>
        <c:marker val="0"/>
        <c:axId val="89774082"/>
        <c:axId val="3878490"/>
      </c:lineChart>
      <c:catAx>
        <c:axId val="89774082"/>
        <c:scaling>
          <c:orientation val="minMax"/>
        </c:scaling>
        <c:delete val="0"/>
        <c:axPos val="b"/>
        <c:numFmt formatCode="dd\-mm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78490"/>
        <c:crosses val="autoZero"/>
        <c:auto val="1"/>
        <c:lblAlgn val="ctr"/>
        <c:lblOffset val="100"/>
        <c:noMultiLvlLbl val="0"/>
      </c:catAx>
      <c:valAx>
        <c:axId val="387849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77408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4.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17</xdr:row>
      <xdr:rowOff>130680</xdr:rowOff>
    </xdr:from>
    <xdr:to>
      <xdr:col>4</xdr:col>
      <xdr:colOff>1797480</xdr:colOff>
      <xdr:row>30</xdr:row>
      <xdr:rowOff>173880</xdr:rowOff>
    </xdr:to>
    <xdr:graphicFrame>
      <xdr:nvGraphicFramePr>
        <xdr:cNvPr id="0" name="Chart 1"/>
        <xdr:cNvGraphicFramePr/>
      </xdr:nvGraphicFramePr>
      <xdr:xfrm>
        <a:off x="141120" y="3429000"/>
        <a:ext cx="503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17</xdr:row>
      <xdr:rowOff>130680</xdr:rowOff>
    </xdr:from>
    <xdr:to>
      <xdr:col>12</xdr:col>
      <xdr:colOff>113400</xdr:colOff>
      <xdr:row>30</xdr:row>
      <xdr:rowOff>173880</xdr:rowOff>
    </xdr:to>
    <xdr:graphicFrame>
      <xdr:nvGraphicFramePr>
        <xdr:cNvPr id="1" name="Chart 2"/>
        <xdr:cNvGraphicFramePr/>
      </xdr:nvGraphicFramePr>
      <xdr:xfrm>
        <a:off x="6343560" y="3429000"/>
        <a:ext cx="431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1</xdr:row>
      <xdr:rowOff>0</xdr:rowOff>
    </xdr:from>
    <xdr:to>
      <xdr:col>20</xdr:col>
      <xdr:colOff>364680</xdr:colOff>
      <xdr:row>16</xdr:row>
      <xdr:rowOff>21960</xdr:rowOff>
    </xdr:to>
    <xdr:graphicFrame>
      <xdr:nvGraphicFramePr>
        <xdr:cNvPr id="2" name="Chart 1"/>
        <xdr:cNvGraphicFramePr/>
      </xdr:nvGraphicFramePr>
      <xdr:xfrm>
        <a:off x="8083080" y="38088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8"/>
    <col collapsed="false" customWidth="true" hidden="false" outlineLevel="0" max="3" min="3" style="0" width="90"/>
  </cols>
  <sheetData>
    <row r="1" customFormat="false" ht="19.7" hidden="false" customHeight="false" outlineLevel="0" collapsed="false">
      <c r="B1" s="1" t="s">
        <v>0</v>
      </c>
    </row>
    <row r="3" customFormat="false" ht="45" hidden="false" customHeight="true" outlineLevel="0" collapsed="false">
      <c r="B3" s="2" t="s">
        <v>1</v>
      </c>
      <c r="C3" s="3" t="s">
        <v>2</v>
      </c>
    </row>
    <row r="4" customFormat="false" ht="105" hidden="false" customHeight="true" outlineLevel="0" collapsed="false">
      <c r="B4" s="2" t="s">
        <v>3</v>
      </c>
      <c r="C4" s="3" t="s">
        <v>4</v>
      </c>
    </row>
    <row r="5" customFormat="false" ht="45" hidden="false" customHeight="true" outlineLevel="0" collapsed="false">
      <c r="B5" s="2" t="s">
        <v>5</v>
      </c>
      <c r="C5" s="3" t="s">
        <v>6</v>
      </c>
    </row>
    <row r="6" customFormat="false" ht="45" hidden="false" customHeight="true" outlineLevel="0" collapsed="false">
      <c r="B6" s="2" t="s">
        <v>7</v>
      </c>
      <c r="C6" s="3" t="s">
        <v>8</v>
      </c>
    </row>
    <row r="7" customFormat="false" ht="45" hidden="false" customHeight="true" outlineLevel="0" collapsed="false">
      <c r="B7" s="2" t="s">
        <v>9</v>
      </c>
      <c r="C7" s="3"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4"/>
    <col collapsed="false" customWidth="true" hidden="false" outlineLevel="0" max="4" min="4" style="0" width="2"/>
    <col collapsed="false" customWidth="true" hidden="false" outlineLevel="0" max="5" min="5" style="0" width="30"/>
    <col collapsed="false" customWidth="true" hidden="false" outlineLevel="0" max="6" min="6" style="0" width="10"/>
    <col collapsed="false" customWidth="true" hidden="false" outlineLevel="0" max="7" min="7" style="0" width="2"/>
    <col collapsed="false" customWidth="true" hidden="false" outlineLevel="0" max="8" min="8" style="0" width="14"/>
    <col collapsed="false" customWidth="true" hidden="false" outlineLevel="0" max="9" min="9" style="0" width="11"/>
    <col collapsed="false" customWidth="true" hidden="false" outlineLevel="0" max="11" min="10" style="0" width="13"/>
  </cols>
  <sheetData>
    <row r="1" customFormat="false" ht="19.7" hidden="false" customHeight="false" outlineLevel="0" collapsed="false">
      <c r="B1" s="1" t="s">
        <v>11</v>
      </c>
    </row>
    <row r="3" customFormat="false" ht="15" hidden="false" customHeight="false" outlineLevel="0" collapsed="false">
      <c r="B3" s="0" t="s">
        <v>12</v>
      </c>
      <c r="C3" s="4" t="n">
        <v>46309</v>
      </c>
      <c r="D3" s="5" t="s">
        <v>13</v>
      </c>
    </row>
    <row r="4" customFormat="false" ht="15" hidden="false" customHeight="false" outlineLevel="0" collapsed="false">
      <c r="B4" s="0" t="s">
        <v>14</v>
      </c>
      <c r="C4" s="6" t="n">
        <v>3</v>
      </c>
    </row>
    <row r="5" customFormat="false" ht="15" hidden="false" customHeight="false" outlineLevel="0" collapsed="false">
      <c r="B5" s="7" t="s">
        <v>15</v>
      </c>
      <c r="C5" s="8"/>
      <c r="E5" s="9" t="s">
        <v>16</v>
      </c>
      <c r="F5" s="9" t="s">
        <v>17</v>
      </c>
      <c r="H5" s="9" t="s">
        <v>18</v>
      </c>
      <c r="I5" s="9" t="s">
        <v>19</v>
      </c>
      <c r="J5" s="9" t="s">
        <v>20</v>
      </c>
      <c r="K5" s="9" t="s">
        <v>21</v>
      </c>
    </row>
    <row r="6" customFormat="false" ht="15" hidden="false" customHeight="false" outlineLevel="0" collapsed="false">
      <c r="B6" s="10" t="s">
        <v>22</v>
      </c>
      <c r="C6" s="11" t="n">
        <f aca="false">COUNTA(Colleges!$A$2:$A$31)</f>
        <v>30</v>
      </c>
      <c r="E6" s="10" t="s">
        <v>23</v>
      </c>
      <c r="F6" s="12" t="n">
        <f aca="false">C7</f>
        <v>26</v>
      </c>
      <c r="H6" s="10" t="s">
        <v>24</v>
      </c>
      <c r="I6" s="10" t="n">
        <f aca="false">COUNTIF('Outreach Log'!$C:$C,H6)</f>
        <v>43</v>
      </c>
      <c r="J6" s="10" t="n">
        <f aca="false">SUMIFS('Outreach Log'!$G:$G,'Outreach Log'!$C:$C,H6)</f>
        <v>23</v>
      </c>
      <c r="K6" s="13" t="n">
        <f aca="false">IF(I6=0,0,J6/I6)</f>
        <v>0.534883720930233</v>
      </c>
    </row>
    <row r="7" customFormat="false" ht="15" hidden="false" customHeight="false" outlineLevel="0" collapsed="false">
      <c r="B7" s="10" t="s">
        <v>23</v>
      </c>
      <c r="C7" s="11" t="n">
        <f aca="false">COUNTIF(Colleges!$G$2:$G$31,"&lt;&gt;Not contacted")</f>
        <v>26</v>
      </c>
      <c r="E7" s="10" t="s">
        <v>25</v>
      </c>
      <c r="F7" s="10" t="n">
        <f aca="false">COUNTIF(Colleges!$G$2:$G$31,"Interested")+C8</f>
        <v>17</v>
      </c>
      <c r="H7" s="10" t="s">
        <v>26</v>
      </c>
      <c r="I7" s="10" t="n">
        <f aca="false">COUNTIF('Outreach Log'!$C:$C,H7)</f>
        <v>26</v>
      </c>
      <c r="J7" s="10" t="n">
        <f aca="false">SUMIFS('Outreach Log'!$G:$G,'Outreach Log'!$C:$C,H7)</f>
        <v>10</v>
      </c>
      <c r="K7" s="13" t="n">
        <f aca="false">IF(I7=0,0,J7/I7)</f>
        <v>0.384615384615385</v>
      </c>
    </row>
    <row r="8" customFormat="false" ht="15" hidden="false" customHeight="false" outlineLevel="0" collapsed="false">
      <c r="B8" s="10" t="s">
        <v>27</v>
      </c>
      <c r="C8" s="11" t="n">
        <f aca="false">COUNTIF(Colleges!$G$2:$G$31,"Onboarded")</f>
        <v>8</v>
      </c>
      <c r="E8" s="10" t="s">
        <v>27</v>
      </c>
      <c r="F8" s="12" t="n">
        <f aca="false">C8</f>
        <v>8</v>
      </c>
      <c r="H8" s="10" t="s">
        <v>28</v>
      </c>
      <c r="I8" s="10" t="n">
        <f aca="false">COUNTIF('Outreach Log'!$C:$C,H8)</f>
        <v>34</v>
      </c>
      <c r="J8" s="10" t="n">
        <f aca="false">SUMIFS('Outreach Log'!$G:$G,'Outreach Log'!$C:$C,H8)</f>
        <v>20</v>
      </c>
      <c r="K8" s="13" t="n">
        <f aca="false">IF(I8=0,0,J8/I8)</f>
        <v>0.588235294117647</v>
      </c>
    </row>
    <row r="9" customFormat="false" ht="15" hidden="false" customHeight="false" outlineLevel="0" collapsed="false">
      <c r="B9" s="10" t="s">
        <v>29</v>
      </c>
      <c r="C9" s="11" t="n">
        <f aca="false">'Daily Metrics'!E16</f>
        <v>103</v>
      </c>
    </row>
    <row r="10" customFormat="false" ht="15" hidden="false" customHeight="false" outlineLevel="0" collapsed="false">
      <c r="B10" s="10" t="s">
        <v>30</v>
      </c>
      <c r="C10" s="14" t="n">
        <f aca="false">'Daily Metrics'!G16</f>
        <v>0.514563106796117</v>
      </c>
      <c r="E10" s="9" t="s">
        <v>31</v>
      </c>
      <c r="F10" s="9" t="s">
        <v>32</v>
      </c>
      <c r="H10" s="9" t="s">
        <v>33</v>
      </c>
      <c r="I10" s="9" t="s">
        <v>34</v>
      </c>
      <c r="J10" s="9" t="s">
        <v>35</v>
      </c>
    </row>
    <row r="11" customFormat="false" ht="15" hidden="false" customHeight="false" outlineLevel="0" collapsed="false">
      <c r="B11" s="10" t="s">
        <v>36</v>
      </c>
      <c r="C11" s="15" t="n">
        <f aca="false">SUM(Colleges!$H$2:$H$31)</f>
        <v>4308</v>
      </c>
      <c r="E11" s="10" t="s">
        <v>37</v>
      </c>
      <c r="F11" s="10" t="n">
        <f aca="false">COUNTIF(Colleges!$G$2:$G$31,E11)</f>
        <v>4</v>
      </c>
      <c r="H11" s="10" t="s">
        <v>38</v>
      </c>
      <c r="I11" s="10" t="n">
        <f aca="false">COUNTIFS(Colleges!$C:$C,H11,Colleges!$G:$G,"Onboarded")</f>
        <v>2</v>
      </c>
      <c r="J11" s="10" t="n">
        <f aca="false">SUMIFS(Colleges!$I:$I,Colleges!$C:$C,H11)</f>
        <v>250</v>
      </c>
    </row>
    <row r="12" customFormat="false" ht="15" hidden="false" customHeight="false" outlineLevel="0" collapsed="false">
      <c r="B12" s="10" t="s">
        <v>35</v>
      </c>
      <c r="C12" s="15" t="n">
        <f aca="false">SUM(Colleges!$I$2:$I$31)</f>
        <v>908</v>
      </c>
      <c r="E12" s="10" t="s">
        <v>39</v>
      </c>
      <c r="F12" s="10" t="n">
        <f aca="false">COUNTIF(Colleges!$G$2:$G$31,E12)</f>
        <v>7</v>
      </c>
      <c r="H12" s="10" t="s">
        <v>40</v>
      </c>
      <c r="I12" s="10" t="n">
        <f aca="false">COUNTIFS(Colleges!$C:$C,H12,Colleges!$G:$G,"Onboarded")</f>
        <v>1</v>
      </c>
      <c r="J12" s="10" t="n">
        <f aca="false">SUMIFS(Colleges!$I:$I,Colleges!$C:$C,H12)</f>
        <v>76</v>
      </c>
    </row>
    <row r="13" customFormat="false" ht="15" hidden="false" customHeight="false" outlineLevel="0" collapsed="false">
      <c r="B13" s="10" t="s">
        <v>41</v>
      </c>
      <c r="C13" s="15" t="n">
        <f aca="false">SUM(Colleges!$J$2:$J$31)</f>
        <v>370</v>
      </c>
      <c r="E13" s="10" t="s">
        <v>42</v>
      </c>
      <c r="F13" s="10" t="n">
        <f aca="false">COUNTIF(Colleges!$G$2:$G$31,E13)</f>
        <v>9</v>
      </c>
      <c r="H13" s="10" t="s">
        <v>43</v>
      </c>
      <c r="I13" s="10" t="n">
        <f aca="false">COUNTIFS(Colleges!$C:$C,H13,Colleges!$G:$G,"Onboarded")</f>
        <v>2</v>
      </c>
      <c r="J13" s="10" t="n">
        <f aca="false">SUMIFS(Colleges!$I:$I,Colleges!$C:$C,H13)</f>
        <v>152</v>
      </c>
    </row>
    <row r="14" customFormat="false" ht="15" hidden="false" customHeight="false" outlineLevel="0" collapsed="false">
      <c r="B14" s="10" t="s">
        <v>44</v>
      </c>
      <c r="C14" s="14" t="n">
        <f aca="false">IF(C11=0,0,C12/C11)</f>
        <v>0.210770659238626</v>
      </c>
      <c r="E14" s="10" t="s">
        <v>34</v>
      </c>
      <c r="F14" s="10" t="n">
        <f aca="false">COUNTIF(Colleges!$G$2:$G$31,E14)</f>
        <v>8</v>
      </c>
      <c r="H14" s="10" t="s">
        <v>45</v>
      </c>
      <c r="I14" s="10" t="n">
        <f aca="false">COUNTIFS(Colleges!$C:$C,H14,Colleges!$G:$G,"Onboarded")</f>
        <v>2</v>
      </c>
      <c r="J14" s="10" t="n">
        <f aca="false">SUMIFS(Colleges!$I:$I,Colleges!$C:$C,H14)</f>
        <v>276</v>
      </c>
    </row>
    <row r="15" customFormat="false" ht="15" hidden="false" customHeight="false" outlineLevel="0" collapsed="false">
      <c r="B15" s="10" t="s">
        <v>46</v>
      </c>
      <c r="C15" s="14" t="n">
        <f aca="false">IF(C12=0,0,C13/C12)</f>
        <v>0.407488986784141</v>
      </c>
      <c r="E15" s="10" t="s">
        <v>47</v>
      </c>
      <c r="F15" s="10" t="n">
        <f aca="false">COUNTIF(Colleges!$G$2:$G$31,E15)</f>
        <v>2</v>
      </c>
      <c r="H15" s="10" t="s">
        <v>48</v>
      </c>
      <c r="I15" s="10" t="n">
        <f aca="false">COUNTIFS(Colleges!$C:$C,H15,Colleges!$G:$G,"Onboarded")</f>
        <v>1</v>
      </c>
      <c r="J15" s="10" t="n">
        <f aca="false">SUMIFS(Colleges!$I:$I,Colleges!$C:$C,H15)</f>
        <v>146</v>
      </c>
    </row>
    <row r="16" customFormat="false" ht="15" hidden="false" customHeight="false" outlineLevel="0" collapsed="false">
      <c r="B16" s="10" t="s">
        <v>49</v>
      </c>
      <c r="C16" s="11" t="n">
        <f aca="false">COUNTIF(Colleges!$N$2:$N$31,"Yes")</f>
        <v>6</v>
      </c>
      <c r="H16" s="10" t="s">
        <v>50</v>
      </c>
      <c r="I16" s="10" t="n">
        <f aca="false">COUNTIFS(Colleges!$C:$C,H16,Colleges!$G:$G,"Onboarded")</f>
        <v>0</v>
      </c>
      <c r="J16" s="10" t="n">
        <f aca="false">SUMIFS(Colleges!$I:$I,Colleges!$C:$C,H16)</f>
        <v>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13"/>
    <col collapsed="false" customWidth="true" hidden="false" outlineLevel="0" max="4" min="4" style="0" width="15"/>
    <col collapsed="false" customWidth="true" hidden="false" outlineLevel="0" max="5" min="5" style="0" width="24"/>
    <col collapsed="false" customWidth="true" hidden="false" outlineLevel="0" max="6" min="6" style="0" width="12"/>
    <col collapsed="false" customWidth="true" hidden="false" outlineLevel="0" max="7" min="7" style="0" width="14"/>
    <col collapsed="false" customWidth="true" hidden="false" outlineLevel="0" max="8" min="8" style="0" width="11"/>
    <col collapsed="false" customWidth="true" hidden="false" outlineLevel="0" max="10" min="9" style="0" width="12"/>
    <col collapsed="false" customWidth="true" hidden="false" outlineLevel="0" max="11" min="11" style="0" width="10"/>
    <col collapsed="false" customWidth="true" hidden="false" outlineLevel="0" max="12" min="12" style="0" width="12"/>
    <col collapsed="false" customWidth="true" hidden="false" outlineLevel="0" max="13" min="13" style="0" width="13"/>
    <col collapsed="false" customWidth="true" hidden="false" outlineLevel="0" max="14" min="14" style="0" width="11"/>
  </cols>
  <sheetData>
    <row r="1" customFormat="false" ht="30" hidden="false" customHeight="true" outlineLevel="0" collapsed="false">
      <c r="A1" s="16" t="s">
        <v>51</v>
      </c>
      <c r="B1" s="16" t="s">
        <v>52</v>
      </c>
      <c r="C1" s="16" t="s">
        <v>33</v>
      </c>
      <c r="D1" s="16" t="s">
        <v>53</v>
      </c>
      <c r="E1" s="16" t="s">
        <v>54</v>
      </c>
      <c r="F1" s="16" t="s">
        <v>55</v>
      </c>
      <c r="G1" s="16" t="s">
        <v>56</v>
      </c>
      <c r="H1" s="16" t="s">
        <v>36</v>
      </c>
      <c r="I1" s="16" t="s">
        <v>35</v>
      </c>
      <c r="J1" s="16" t="s">
        <v>41</v>
      </c>
      <c r="K1" s="16" t="s">
        <v>57</v>
      </c>
      <c r="L1" s="16" t="s">
        <v>58</v>
      </c>
      <c r="M1" s="16" t="s">
        <v>59</v>
      </c>
      <c r="N1" s="16" t="s">
        <v>60</v>
      </c>
    </row>
    <row r="2" customFormat="false" ht="15" hidden="false" customHeight="false" outlineLevel="0" collapsed="false">
      <c r="A2" s="17" t="s">
        <v>61</v>
      </c>
      <c r="B2" s="17" t="s">
        <v>62</v>
      </c>
      <c r="C2" s="17" t="s">
        <v>40</v>
      </c>
      <c r="D2" s="17" t="s">
        <v>63</v>
      </c>
      <c r="E2" s="17" t="s">
        <v>64</v>
      </c>
      <c r="F2" s="17" t="s">
        <v>24</v>
      </c>
      <c r="G2" s="18" t="s">
        <v>39</v>
      </c>
      <c r="H2" s="18" t="n">
        <v>0</v>
      </c>
      <c r="I2" s="18" t="n">
        <v>0</v>
      </c>
      <c r="J2" s="18" t="n">
        <v>0</v>
      </c>
      <c r="K2" s="17" t="n">
        <f aca="false">COUNTIF('Outreach Log'!$B:$B,A2)</f>
        <v>9</v>
      </c>
      <c r="L2" s="19" t="n">
        <f aca="false">IF(K2=0,"",_xlfn.MAXIFS('Outreach Log'!$A:$A,'Outreach Log'!$B:$B,A2))</f>
        <v>46309</v>
      </c>
      <c r="M2" s="19" t="n">
        <f aca="false">IF(OR(G2="Onboarded",G2="Not interested",L2=""),"",L2+Dashboard!$C$4)</f>
        <v>46312</v>
      </c>
      <c r="N2" s="17" t="str">
        <f aca="false">IF(M2="","",IF(M2&lt;=Dashboard!$C$3,"Yes","No"))</f>
        <v>No</v>
      </c>
    </row>
    <row r="3" customFormat="false" ht="15" hidden="false" customHeight="false" outlineLevel="0" collapsed="false">
      <c r="A3" s="20" t="s">
        <v>65</v>
      </c>
      <c r="B3" s="20" t="s">
        <v>66</v>
      </c>
      <c r="C3" s="20" t="s">
        <v>43</v>
      </c>
      <c r="D3" s="20" t="s">
        <v>67</v>
      </c>
      <c r="E3" s="20" t="s">
        <v>68</v>
      </c>
      <c r="F3" s="20" t="s">
        <v>28</v>
      </c>
      <c r="G3" s="18" t="s">
        <v>42</v>
      </c>
      <c r="H3" s="18" t="n">
        <v>58</v>
      </c>
      <c r="I3" s="18" t="n">
        <v>4</v>
      </c>
      <c r="J3" s="18" t="n">
        <v>1</v>
      </c>
      <c r="K3" s="20" t="n">
        <f aca="false">COUNTIF('Outreach Log'!$B:$B,A3)</f>
        <v>1</v>
      </c>
      <c r="L3" s="21" t="n">
        <f aca="false">IF(K3=0,"",_xlfn.MAXIFS('Outreach Log'!$A:$A,'Outreach Log'!$B:$B,A3))</f>
        <v>46304</v>
      </c>
      <c r="M3" s="21" t="n">
        <f aca="false">IF(OR(G3="Onboarded",G3="Not interested",L3=""),"",L3+Dashboard!$C$4)</f>
        <v>46307</v>
      </c>
      <c r="N3" s="20" t="str">
        <f aca="false">IF(M3="","",IF(M3&lt;=Dashboard!$C$3,"Yes","No"))</f>
        <v>Yes</v>
      </c>
    </row>
    <row r="4" customFormat="false" ht="15" hidden="false" customHeight="false" outlineLevel="0" collapsed="false">
      <c r="A4" s="17" t="s">
        <v>69</v>
      </c>
      <c r="B4" s="17" t="s">
        <v>70</v>
      </c>
      <c r="C4" s="17" t="s">
        <v>38</v>
      </c>
      <c r="D4" s="17" t="s">
        <v>67</v>
      </c>
      <c r="E4" s="17" t="s">
        <v>71</v>
      </c>
      <c r="F4" s="17" t="s">
        <v>24</v>
      </c>
      <c r="G4" s="18" t="s">
        <v>34</v>
      </c>
      <c r="H4" s="18" t="n">
        <v>234</v>
      </c>
      <c r="I4" s="18" t="n">
        <v>64</v>
      </c>
      <c r="J4" s="18" t="n">
        <v>22</v>
      </c>
      <c r="K4" s="17" t="n">
        <f aca="false">COUNTIF('Outreach Log'!$B:$B,A4)</f>
        <v>3</v>
      </c>
      <c r="L4" s="19" t="n">
        <f aca="false">IF(K4=0,"",_xlfn.MAXIFS('Outreach Log'!$A:$A,'Outreach Log'!$B:$B,A4))</f>
        <v>46303</v>
      </c>
      <c r="M4" s="19" t="str">
        <f aca="false">IF(OR(G4="Onboarded",G4="Not interested",L4=""),"",L4+Dashboard!$C$4)</f>
        <v/>
      </c>
      <c r="N4" s="17" t="str">
        <f aca="false">IF(M4="","",IF(M4&lt;=Dashboard!$C$3,"Yes","No"))</f>
        <v/>
      </c>
    </row>
    <row r="5" customFormat="false" ht="15" hidden="false" customHeight="false" outlineLevel="0" collapsed="false">
      <c r="A5" s="20" t="s">
        <v>72</v>
      </c>
      <c r="B5" s="20" t="s">
        <v>73</v>
      </c>
      <c r="C5" s="20" t="s">
        <v>48</v>
      </c>
      <c r="D5" s="20" t="s">
        <v>67</v>
      </c>
      <c r="E5" s="20" t="s">
        <v>64</v>
      </c>
      <c r="F5" s="20" t="s">
        <v>28</v>
      </c>
      <c r="G5" s="18" t="s">
        <v>39</v>
      </c>
      <c r="H5" s="18" t="n">
        <v>0</v>
      </c>
      <c r="I5" s="18" t="n">
        <v>0</v>
      </c>
      <c r="J5" s="18" t="n">
        <v>0</v>
      </c>
      <c r="K5" s="20" t="n">
        <f aca="false">COUNTIF('Outreach Log'!$B:$B,A5)</f>
        <v>2</v>
      </c>
      <c r="L5" s="21" t="n">
        <f aca="false">IF(K5=0,"",_xlfn.MAXIFS('Outreach Log'!$A:$A,'Outreach Log'!$B:$B,A5))</f>
        <v>46305</v>
      </c>
      <c r="M5" s="21" t="n">
        <f aca="false">IF(OR(G5="Onboarded",G5="Not interested",L5=""),"",L5+Dashboard!$C$4)</f>
        <v>46308</v>
      </c>
      <c r="N5" s="20" t="str">
        <f aca="false">IF(M5="","",IF(M5&lt;=Dashboard!$C$3,"Yes","No"))</f>
        <v>Yes</v>
      </c>
    </row>
    <row r="6" customFormat="false" ht="15" hidden="false" customHeight="false" outlineLevel="0" collapsed="false">
      <c r="A6" s="17" t="s">
        <v>74</v>
      </c>
      <c r="B6" s="17" t="s">
        <v>75</v>
      </c>
      <c r="C6" s="17" t="s">
        <v>50</v>
      </c>
      <c r="D6" s="17" t="s">
        <v>76</v>
      </c>
      <c r="E6" s="17" t="s">
        <v>77</v>
      </c>
      <c r="F6" s="17" t="s">
        <v>24</v>
      </c>
      <c r="G6" s="18" t="s">
        <v>42</v>
      </c>
      <c r="H6" s="18" t="n">
        <v>112</v>
      </c>
      <c r="I6" s="18" t="n">
        <v>8</v>
      </c>
      <c r="J6" s="18" t="n">
        <v>2</v>
      </c>
      <c r="K6" s="17" t="n">
        <f aca="false">COUNTIF('Outreach Log'!$B:$B,A6)</f>
        <v>4</v>
      </c>
      <c r="L6" s="19" t="n">
        <f aca="false">IF(K6=0,"",_xlfn.MAXIFS('Outreach Log'!$A:$A,'Outreach Log'!$B:$B,A6))</f>
        <v>46303</v>
      </c>
      <c r="M6" s="19" t="n">
        <f aca="false">IF(OR(G6="Onboarded",G6="Not interested",L6=""),"",L6+Dashboard!$C$4)</f>
        <v>46306</v>
      </c>
      <c r="N6" s="17" t="str">
        <f aca="false">IF(M6="","",IF(M6&lt;=Dashboard!$C$3,"Yes","No"))</f>
        <v>Yes</v>
      </c>
    </row>
    <row r="7" customFormat="false" ht="15" hidden="false" customHeight="false" outlineLevel="0" collapsed="false">
      <c r="A7" s="20" t="s">
        <v>78</v>
      </c>
      <c r="B7" s="20" t="s">
        <v>79</v>
      </c>
      <c r="C7" s="20" t="s">
        <v>38</v>
      </c>
      <c r="D7" s="20" t="s">
        <v>80</v>
      </c>
      <c r="E7" s="20" t="s">
        <v>81</v>
      </c>
      <c r="F7" s="20" t="s">
        <v>28</v>
      </c>
      <c r="G7" s="18" t="s">
        <v>39</v>
      </c>
      <c r="H7" s="18" t="n">
        <v>0</v>
      </c>
      <c r="I7" s="18" t="n">
        <v>0</v>
      </c>
      <c r="J7" s="18" t="n">
        <v>0</v>
      </c>
      <c r="K7" s="20" t="n">
        <f aca="false">COUNTIF('Outreach Log'!$B:$B,A7)</f>
        <v>2</v>
      </c>
      <c r="L7" s="21" t="n">
        <f aca="false">IF(K7=0,"",_xlfn.MAXIFS('Outreach Log'!$A:$A,'Outreach Log'!$B:$B,A7))</f>
        <v>46307</v>
      </c>
      <c r="M7" s="21" t="n">
        <f aca="false">IF(OR(G7="Onboarded",G7="Not interested",L7=""),"",L7+Dashboard!$C$4)</f>
        <v>46310</v>
      </c>
      <c r="N7" s="20" t="str">
        <f aca="false">IF(M7="","",IF(M7&lt;=Dashboard!$C$3,"Yes","No"))</f>
        <v>No</v>
      </c>
    </row>
    <row r="8" customFormat="false" ht="15" hidden="false" customHeight="false" outlineLevel="0" collapsed="false">
      <c r="A8" s="17" t="s">
        <v>82</v>
      </c>
      <c r="B8" s="17" t="s">
        <v>83</v>
      </c>
      <c r="C8" s="17" t="s">
        <v>43</v>
      </c>
      <c r="D8" s="17" t="s">
        <v>76</v>
      </c>
      <c r="E8" s="17" t="s">
        <v>84</v>
      </c>
      <c r="F8" s="17" t="s">
        <v>28</v>
      </c>
      <c r="G8" s="18" t="s">
        <v>34</v>
      </c>
      <c r="H8" s="18" t="n">
        <v>203</v>
      </c>
      <c r="I8" s="18" t="n">
        <v>59</v>
      </c>
      <c r="J8" s="18" t="n">
        <v>24</v>
      </c>
      <c r="K8" s="17" t="n">
        <f aca="false">COUNTIF('Outreach Log'!$B:$B,A8)</f>
        <v>4</v>
      </c>
      <c r="L8" s="19" t="n">
        <f aca="false">IF(K8=0,"",_xlfn.MAXIFS('Outreach Log'!$A:$A,'Outreach Log'!$B:$B,A8))</f>
        <v>46307</v>
      </c>
      <c r="M8" s="19" t="str">
        <f aca="false">IF(OR(G8="Onboarded",G8="Not interested",L8=""),"",L8+Dashboard!$C$4)</f>
        <v/>
      </c>
      <c r="N8" s="17" t="str">
        <f aca="false">IF(M8="","",IF(M8&lt;=Dashboard!$C$3,"Yes","No"))</f>
        <v/>
      </c>
    </row>
    <row r="9" customFormat="false" ht="15" hidden="false" customHeight="false" outlineLevel="0" collapsed="false">
      <c r="A9" s="20" t="s">
        <v>85</v>
      </c>
      <c r="B9" s="20" t="s">
        <v>86</v>
      </c>
      <c r="C9" s="20" t="s">
        <v>48</v>
      </c>
      <c r="D9" s="20" t="s">
        <v>63</v>
      </c>
      <c r="E9" s="20" t="s">
        <v>87</v>
      </c>
      <c r="F9" s="20" t="s">
        <v>24</v>
      </c>
      <c r="G9" s="18" t="s">
        <v>39</v>
      </c>
      <c r="H9" s="18" t="n">
        <v>0</v>
      </c>
      <c r="I9" s="18" t="n">
        <v>0</v>
      </c>
      <c r="J9" s="18" t="n">
        <v>0</v>
      </c>
      <c r="K9" s="20" t="n">
        <f aca="false">COUNTIF('Outreach Log'!$B:$B,A9)</f>
        <v>3</v>
      </c>
      <c r="L9" s="21" t="n">
        <f aca="false">IF(K9=0,"",_xlfn.MAXIFS('Outreach Log'!$A:$A,'Outreach Log'!$B:$B,A9))</f>
        <v>46305</v>
      </c>
      <c r="M9" s="21" t="n">
        <f aca="false">IF(OR(G9="Onboarded",G9="Not interested",L9=""),"",L9+Dashboard!$C$4)</f>
        <v>46308</v>
      </c>
      <c r="N9" s="20" t="str">
        <f aca="false">IF(M9="","",IF(M9&lt;=Dashboard!$C$3,"Yes","No"))</f>
        <v>Yes</v>
      </c>
    </row>
    <row r="10" customFormat="false" ht="15" hidden="false" customHeight="false" outlineLevel="0" collapsed="false">
      <c r="A10" s="17" t="s">
        <v>88</v>
      </c>
      <c r="B10" s="17" t="s">
        <v>89</v>
      </c>
      <c r="C10" s="17" t="s">
        <v>43</v>
      </c>
      <c r="D10" s="17" t="s">
        <v>76</v>
      </c>
      <c r="E10" s="17" t="s">
        <v>90</v>
      </c>
      <c r="F10" s="17" t="s">
        <v>28</v>
      </c>
      <c r="G10" s="18" t="s">
        <v>42</v>
      </c>
      <c r="H10" s="18" t="n">
        <v>60</v>
      </c>
      <c r="I10" s="18" t="n">
        <v>5</v>
      </c>
      <c r="J10" s="18" t="n">
        <v>1</v>
      </c>
      <c r="K10" s="17" t="n">
        <f aca="false">COUNTIF('Outreach Log'!$B:$B,A10)</f>
        <v>3</v>
      </c>
      <c r="L10" s="19" t="n">
        <f aca="false">IF(K10=0,"",_xlfn.MAXIFS('Outreach Log'!$A:$A,'Outreach Log'!$B:$B,A10))</f>
        <v>46308</v>
      </c>
      <c r="M10" s="19" t="n">
        <f aca="false">IF(OR(G10="Onboarded",G10="Not interested",L10=""),"",L10+Dashboard!$C$4)</f>
        <v>46311</v>
      </c>
      <c r="N10" s="17" t="str">
        <f aca="false">IF(M10="","",IF(M10&lt;=Dashboard!$C$3,"Yes","No"))</f>
        <v>No</v>
      </c>
    </row>
    <row r="11" customFormat="false" ht="15" hidden="false" customHeight="false" outlineLevel="0" collapsed="false">
      <c r="A11" s="20" t="s">
        <v>91</v>
      </c>
      <c r="B11" s="20" t="s">
        <v>92</v>
      </c>
      <c r="C11" s="20" t="s">
        <v>48</v>
      </c>
      <c r="D11" s="20" t="s">
        <v>67</v>
      </c>
      <c r="E11" s="20" t="s">
        <v>93</v>
      </c>
      <c r="F11" s="20" t="s">
        <v>28</v>
      </c>
      <c r="G11" s="18" t="s">
        <v>39</v>
      </c>
      <c r="H11" s="18" t="n">
        <v>0</v>
      </c>
      <c r="I11" s="18" t="n">
        <v>0</v>
      </c>
      <c r="J11" s="18" t="n">
        <v>0</v>
      </c>
      <c r="K11" s="20" t="n">
        <f aca="false">COUNTIF('Outreach Log'!$B:$B,A11)</f>
        <v>4</v>
      </c>
      <c r="L11" s="21" t="n">
        <f aca="false">IF(K11=0,"",_xlfn.MAXIFS('Outreach Log'!$A:$A,'Outreach Log'!$B:$B,A11))</f>
        <v>46308</v>
      </c>
      <c r="M11" s="21" t="n">
        <f aca="false">IF(OR(G11="Onboarded",G11="Not interested",L11=""),"",L11+Dashboard!$C$4)</f>
        <v>46311</v>
      </c>
      <c r="N11" s="20" t="str">
        <f aca="false">IF(M11="","",IF(M11&lt;=Dashboard!$C$3,"Yes","No"))</f>
        <v>No</v>
      </c>
    </row>
    <row r="12" customFormat="false" ht="15" hidden="false" customHeight="false" outlineLevel="0" collapsed="false">
      <c r="A12" s="17" t="s">
        <v>94</v>
      </c>
      <c r="B12" s="17" t="s">
        <v>95</v>
      </c>
      <c r="C12" s="17" t="s">
        <v>43</v>
      </c>
      <c r="D12" s="17" t="s">
        <v>80</v>
      </c>
      <c r="E12" s="17" t="s">
        <v>96</v>
      </c>
      <c r="F12" s="17" t="s">
        <v>26</v>
      </c>
      <c r="G12" s="18" t="s">
        <v>39</v>
      </c>
      <c r="H12" s="18" t="n">
        <v>0</v>
      </c>
      <c r="I12" s="18" t="n">
        <v>0</v>
      </c>
      <c r="J12" s="18" t="n">
        <v>0</v>
      </c>
      <c r="K12" s="17" t="n">
        <f aca="false">COUNTIF('Outreach Log'!$B:$B,A12)</f>
        <v>1</v>
      </c>
      <c r="L12" s="19" t="n">
        <f aca="false">IF(K12=0,"",_xlfn.MAXIFS('Outreach Log'!$A:$A,'Outreach Log'!$B:$B,A12))</f>
        <v>46307</v>
      </c>
      <c r="M12" s="19" t="n">
        <f aca="false">IF(OR(G12="Onboarded",G12="Not interested",L12=""),"",L12+Dashboard!$C$4)</f>
        <v>46310</v>
      </c>
      <c r="N12" s="17" t="str">
        <f aca="false">IF(M12="","",IF(M12&lt;=Dashboard!$C$3,"Yes","No"))</f>
        <v>No</v>
      </c>
    </row>
    <row r="13" customFormat="false" ht="15" hidden="false" customHeight="false" outlineLevel="0" collapsed="false">
      <c r="A13" s="20" t="s">
        <v>97</v>
      </c>
      <c r="B13" s="20" t="s">
        <v>98</v>
      </c>
      <c r="C13" s="20" t="s">
        <v>40</v>
      </c>
      <c r="D13" s="20" t="s">
        <v>63</v>
      </c>
      <c r="E13" s="20" t="s">
        <v>99</v>
      </c>
      <c r="F13" s="20" t="s">
        <v>28</v>
      </c>
      <c r="G13" s="18" t="s">
        <v>39</v>
      </c>
      <c r="H13" s="18" t="n">
        <v>0</v>
      </c>
      <c r="I13" s="18" t="n">
        <v>0</v>
      </c>
      <c r="J13" s="18" t="n">
        <v>0</v>
      </c>
      <c r="K13" s="20" t="n">
        <f aca="false">COUNTIF('Outreach Log'!$B:$B,A13)</f>
        <v>4</v>
      </c>
      <c r="L13" s="21" t="n">
        <f aca="false">IF(K13=0,"",_xlfn.MAXIFS('Outreach Log'!$A:$A,'Outreach Log'!$B:$B,A13))</f>
        <v>46300</v>
      </c>
      <c r="M13" s="21" t="n">
        <f aca="false">IF(OR(G13="Onboarded",G13="Not interested",L13=""),"",L13+Dashboard!$C$4)</f>
        <v>46303</v>
      </c>
      <c r="N13" s="20" t="str">
        <f aca="false">IF(M13="","",IF(M13&lt;=Dashboard!$C$3,"Yes","No"))</f>
        <v>Yes</v>
      </c>
    </row>
    <row r="14" customFormat="false" ht="15" hidden="false" customHeight="false" outlineLevel="0" collapsed="false">
      <c r="A14" s="17" t="s">
        <v>100</v>
      </c>
      <c r="B14" s="17" t="s">
        <v>101</v>
      </c>
      <c r="C14" s="17" t="s">
        <v>38</v>
      </c>
      <c r="D14" s="17" t="s">
        <v>76</v>
      </c>
      <c r="E14" s="17" t="s">
        <v>102</v>
      </c>
      <c r="F14" s="17" t="s">
        <v>28</v>
      </c>
      <c r="G14" s="18" t="s">
        <v>42</v>
      </c>
      <c r="H14" s="18" t="n">
        <v>98</v>
      </c>
      <c r="I14" s="18" t="n">
        <v>13</v>
      </c>
      <c r="J14" s="18" t="n">
        <v>3</v>
      </c>
      <c r="K14" s="17" t="n">
        <f aca="false">COUNTIF('Outreach Log'!$B:$B,A14)</f>
        <v>7</v>
      </c>
      <c r="L14" s="19" t="n">
        <f aca="false">IF(K14=0,"",_xlfn.MAXIFS('Outreach Log'!$A:$A,'Outreach Log'!$B:$B,A14))</f>
        <v>46309</v>
      </c>
      <c r="M14" s="19" t="n">
        <f aca="false">IF(OR(G14="Onboarded",G14="Not interested",L14=""),"",L14+Dashboard!$C$4)</f>
        <v>46312</v>
      </c>
      <c r="N14" s="17" t="str">
        <f aca="false">IF(M14="","",IF(M14&lt;=Dashboard!$C$3,"Yes","No"))</f>
        <v>No</v>
      </c>
    </row>
    <row r="15" customFormat="false" ht="15" hidden="false" customHeight="false" outlineLevel="0" collapsed="false">
      <c r="A15" s="20" t="s">
        <v>103</v>
      </c>
      <c r="B15" s="20" t="s">
        <v>104</v>
      </c>
      <c r="C15" s="20" t="s">
        <v>50</v>
      </c>
      <c r="D15" s="20" t="s">
        <v>63</v>
      </c>
      <c r="E15" s="20" t="s">
        <v>105</v>
      </c>
      <c r="F15" s="20" t="s">
        <v>28</v>
      </c>
      <c r="G15" s="18" t="s">
        <v>47</v>
      </c>
      <c r="H15" s="18" t="n">
        <v>0</v>
      </c>
      <c r="I15" s="18" t="n">
        <v>0</v>
      </c>
      <c r="J15" s="18" t="n">
        <v>0</v>
      </c>
      <c r="K15" s="20" t="n">
        <f aca="false">COUNTIF('Outreach Log'!$B:$B,A15)</f>
        <v>3</v>
      </c>
      <c r="L15" s="21" t="n">
        <f aca="false">IF(K15=0,"",_xlfn.MAXIFS('Outreach Log'!$A:$A,'Outreach Log'!$B:$B,A15))</f>
        <v>46304</v>
      </c>
      <c r="M15" s="21" t="str">
        <f aca="false">IF(OR(G15="Onboarded",G15="Not interested",L15=""),"",L15+Dashboard!$C$4)</f>
        <v/>
      </c>
      <c r="N15" s="20" t="str">
        <f aca="false">IF(M15="","",IF(M15&lt;=Dashboard!$C$3,"Yes","No"))</f>
        <v/>
      </c>
    </row>
    <row r="16" customFormat="false" ht="15" hidden="false" customHeight="false" outlineLevel="0" collapsed="false">
      <c r="A16" s="17" t="s">
        <v>106</v>
      </c>
      <c r="B16" s="17" t="s">
        <v>107</v>
      </c>
      <c r="C16" s="17" t="s">
        <v>48</v>
      </c>
      <c r="D16" s="17" t="s">
        <v>67</v>
      </c>
      <c r="E16" s="17" t="s">
        <v>84</v>
      </c>
      <c r="F16" s="17" t="s">
        <v>26</v>
      </c>
      <c r="G16" s="18" t="s">
        <v>42</v>
      </c>
      <c r="H16" s="18" t="n">
        <v>133</v>
      </c>
      <c r="I16" s="18" t="n">
        <v>19</v>
      </c>
      <c r="J16" s="18" t="n">
        <v>3</v>
      </c>
      <c r="K16" s="17" t="n">
        <f aca="false">COUNTIF('Outreach Log'!$B:$B,A16)</f>
        <v>7</v>
      </c>
      <c r="L16" s="19" t="n">
        <f aca="false">IF(K16=0,"",_xlfn.MAXIFS('Outreach Log'!$A:$A,'Outreach Log'!$B:$B,A16))</f>
        <v>46309</v>
      </c>
      <c r="M16" s="19" t="n">
        <f aca="false">IF(OR(G16="Onboarded",G16="Not interested",L16=""),"",L16+Dashboard!$C$4)</f>
        <v>46312</v>
      </c>
      <c r="N16" s="17" t="str">
        <f aca="false">IF(M16="","",IF(M16&lt;=Dashboard!$C$3,"Yes","No"))</f>
        <v>No</v>
      </c>
    </row>
    <row r="17" customFormat="false" ht="15" hidden="false" customHeight="false" outlineLevel="0" collapsed="false">
      <c r="A17" s="20" t="s">
        <v>108</v>
      </c>
      <c r="B17" s="20" t="s">
        <v>109</v>
      </c>
      <c r="C17" s="20" t="s">
        <v>45</v>
      </c>
      <c r="D17" s="20" t="s">
        <v>80</v>
      </c>
      <c r="E17" s="20" t="s">
        <v>110</v>
      </c>
      <c r="F17" s="20" t="s">
        <v>28</v>
      </c>
      <c r="G17" s="18" t="s">
        <v>42</v>
      </c>
      <c r="H17" s="18" t="n">
        <v>191</v>
      </c>
      <c r="I17" s="18" t="n">
        <v>25</v>
      </c>
      <c r="J17" s="18" t="n">
        <v>9</v>
      </c>
      <c r="K17" s="20" t="n">
        <f aca="false">COUNTIF('Outreach Log'!$B:$B,A17)</f>
        <v>5</v>
      </c>
      <c r="L17" s="21" t="n">
        <f aca="false">IF(K17=0,"",_xlfn.MAXIFS('Outreach Log'!$A:$A,'Outreach Log'!$B:$B,A17))</f>
        <v>46309</v>
      </c>
      <c r="M17" s="21" t="n">
        <f aca="false">IF(OR(G17="Onboarded",G17="Not interested",L17=""),"",L17+Dashboard!$C$4)</f>
        <v>46312</v>
      </c>
      <c r="N17" s="20" t="str">
        <f aca="false">IF(M17="","",IF(M17&lt;=Dashboard!$C$3,"Yes","No"))</f>
        <v>No</v>
      </c>
    </row>
    <row r="18" customFormat="false" ht="15" hidden="false" customHeight="false" outlineLevel="0" collapsed="false">
      <c r="A18" s="17" t="s">
        <v>111</v>
      </c>
      <c r="B18" s="17" t="s">
        <v>112</v>
      </c>
      <c r="C18" s="17" t="s">
        <v>43</v>
      </c>
      <c r="D18" s="17" t="s">
        <v>63</v>
      </c>
      <c r="E18" s="17" t="s">
        <v>113</v>
      </c>
      <c r="F18" s="17" t="s">
        <v>28</v>
      </c>
      <c r="G18" s="18" t="s">
        <v>42</v>
      </c>
      <c r="H18" s="18" t="n">
        <v>151</v>
      </c>
      <c r="I18" s="18" t="n">
        <v>11</v>
      </c>
      <c r="J18" s="18" t="n">
        <v>2</v>
      </c>
      <c r="K18" s="17" t="n">
        <f aca="false">COUNTIF('Outreach Log'!$B:$B,A18)</f>
        <v>8</v>
      </c>
      <c r="L18" s="19" t="n">
        <f aca="false">IF(K18=0,"",_xlfn.MAXIFS('Outreach Log'!$A:$A,'Outreach Log'!$B:$B,A18))</f>
        <v>46307</v>
      </c>
      <c r="M18" s="19" t="n">
        <f aca="false">IF(OR(G18="Onboarded",G18="Not interested",L18=""),"",L18+Dashboard!$C$4)</f>
        <v>46310</v>
      </c>
      <c r="N18" s="17" t="str">
        <f aca="false">IF(M18="","",IF(M18&lt;=Dashboard!$C$3,"Yes","No"))</f>
        <v>No</v>
      </c>
    </row>
    <row r="19" customFormat="false" ht="15" hidden="false" customHeight="false" outlineLevel="0" collapsed="false">
      <c r="A19" s="20" t="s">
        <v>114</v>
      </c>
      <c r="B19" s="20" t="s">
        <v>115</v>
      </c>
      <c r="C19" s="20" t="s">
        <v>38</v>
      </c>
      <c r="D19" s="20" t="s">
        <v>80</v>
      </c>
      <c r="E19" s="20" t="s">
        <v>116</v>
      </c>
      <c r="F19" s="20" t="s">
        <v>26</v>
      </c>
      <c r="G19" s="18" t="s">
        <v>34</v>
      </c>
      <c r="H19" s="18" t="n">
        <v>622</v>
      </c>
      <c r="I19" s="18" t="n">
        <v>134</v>
      </c>
      <c r="J19" s="18" t="n">
        <v>66</v>
      </c>
      <c r="K19" s="20" t="n">
        <f aca="false">COUNTIF('Outreach Log'!$B:$B,A19)</f>
        <v>3</v>
      </c>
      <c r="L19" s="21" t="n">
        <f aca="false">IF(K19=0,"",_xlfn.MAXIFS('Outreach Log'!$A:$A,'Outreach Log'!$B:$B,A19))</f>
        <v>46309</v>
      </c>
      <c r="M19" s="21" t="str">
        <f aca="false">IF(OR(G19="Onboarded",G19="Not interested",L19=""),"",L19+Dashboard!$C$4)</f>
        <v/>
      </c>
      <c r="N19" s="20" t="str">
        <f aca="false">IF(M19="","",IF(M19&lt;=Dashboard!$C$3,"Yes","No"))</f>
        <v/>
      </c>
    </row>
    <row r="20" customFormat="false" ht="15" hidden="false" customHeight="false" outlineLevel="0" collapsed="false">
      <c r="A20" s="17" t="s">
        <v>117</v>
      </c>
      <c r="B20" s="17" t="s">
        <v>118</v>
      </c>
      <c r="C20" s="17" t="s">
        <v>38</v>
      </c>
      <c r="D20" s="17" t="s">
        <v>67</v>
      </c>
      <c r="E20" s="17" t="s">
        <v>119</v>
      </c>
      <c r="F20" s="17" t="s">
        <v>28</v>
      </c>
      <c r="G20" s="18" t="s">
        <v>47</v>
      </c>
      <c r="H20" s="18" t="n">
        <v>0</v>
      </c>
      <c r="I20" s="18" t="n">
        <v>0</v>
      </c>
      <c r="J20" s="18" t="n">
        <v>0</v>
      </c>
      <c r="K20" s="17" t="n">
        <f aca="false">COUNTIF('Outreach Log'!$B:$B,A20)</f>
        <v>2</v>
      </c>
      <c r="L20" s="19" t="n">
        <f aca="false">IF(K20=0,"",_xlfn.MAXIFS('Outreach Log'!$A:$A,'Outreach Log'!$B:$B,A20))</f>
        <v>46300</v>
      </c>
      <c r="M20" s="19" t="str">
        <f aca="false">IF(OR(G20="Onboarded",G20="Not interested",L20=""),"",L20+Dashboard!$C$4)</f>
        <v/>
      </c>
      <c r="N20" s="17" t="str">
        <f aca="false">IF(M20="","",IF(M20&lt;=Dashboard!$C$3,"Yes","No"))</f>
        <v/>
      </c>
    </row>
    <row r="21" customFormat="false" ht="15" hidden="false" customHeight="false" outlineLevel="0" collapsed="false">
      <c r="A21" s="20" t="s">
        <v>120</v>
      </c>
      <c r="B21" s="20" t="s">
        <v>121</v>
      </c>
      <c r="C21" s="20" t="s">
        <v>43</v>
      </c>
      <c r="D21" s="20" t="s">
        <v>80</v>
      </c>
      <c r="E21" s="20" t="s">
        <v>122</v>
      </c>
      <c r="F21" s="20" t="s">
        <v>28</v>
      </c>
      <c r="G21" s="18" t="s">
        <v>34</v>
      </c>
      <c r="H21" s="18" t="n">
        <v>274</v>
      </c>
      <c r="I21" s="18" t="n">
        <v>73</v>
      </c>
      <c r="J21" s="18" t="n">
        <v>42</v>
      </c>
      <c r="K21" s="20" t="n">
        <f aca="false">COUNTIF('Outreach Log'!$B:$B,A21)</f>
        <v>4</v>
      </c>
      <c r="L21" s="21" t="n">
        <f aca="false">IF(K21=0,"",_xlfn.MAXIFS('Outreach Log'!$A:$A,'Outreach Log'!$B:$B,A21))</f>
        <v>46300</v>
      </c>
      <c r="M21" s="21" t="str">
        <f aca="false">IF(OR(G21="Onboarded",G21="Not interested",L21=""),"",L21+Dashboard!$C$4)</f>
        <v/>
      </c>
      <c r="N21" s="20" t="str">
        <f aca="false">IF(M21="","",IF(M21&lt;=Dashboard!$C$3,"Yes","No"))</f>
        <v/>
      </c>
    </row>
    <row r="22" customFormat="false" ht="15" hidden="false" customHeight="false" outlineLevel="0" collapsed="false">
      <c r="A22" s="17" t="s">
        <v>123</v>
      </c>
      <c r="B22" s="17" t="s">
        <v>124</v>
      </c>
      <c r="C22" s="17" t="s">
        <v>45</v>
      </c>
      <c r="D22" s="17" t="s">
        <v>67</v>
      </c>
      <c r="E22" s="17" t="s">
        <v>125</v>
      </c>
      <c r="F22" s="17" t="s">
        <v>28</v>
      </c>
      <c r="G22" s="18" t="s">
        <v>42</v>
      </c>
      <c r="H22" s="18" t="n">
        <v>37</v>
      </c>
      <c r="I22" s="18" t="n">
        <v>4</v>
      </c>
      <c r="J22" s="18" t="n">
        <v>1</v>
      </c>
      <c r="K22" s="17" t="n">
        <f aca="false">COUNTIF('Outreach Log'!$B:$B,A22)</f>
        <v>3</v>
      </c>
      <c r="L22" s="19" t="n">
        <f aca="false">IF(K22=0,"",_xlfn.MAXIFS('Outreach Log'!$A:$A,'Outreach Log'!$B:$B,A22))</f>
        <v>46309</v>
      </c>
      <c r="M22" s="19" t="n">
        <f aca="false">IF(OR(G22="Onboarded",G22="Not interested",L22=""),"",L22+Dashboard!$C$4)</f>
        <v>46312</v>
      </c>
      <c r="N22" s="17" t="str">
        <f aca="false">IF(M22="","",IF(M22&lt;=Dashboard!$C$3,"Yes","No"))</f>
        <v>No</v>
      </c>
    </row>
    <row r="23" customFormat="false" ht="15" hidden="false" customHeight="false" outlineLevel="0" collapsed="false">
      <c r="A23" s="20" t="s">
        <v>126</v>
      </c>
      <c r="B23" s="20" t="s">
        <v>127</v>
      </c>
      <c r="C23" s="20" t="s">
        <v>38</v>
      </c>
      <c r="D23" s="20" t="s">
        <v>80</v>
      </c>
      <c r="E23" s="20" t="s">
        <v>128</v>
      </c>
      <c r="F23" s="20" t="s">
        <v>24</v>
      </c>
      <c r="G23" s="18" t="s">
        <v>42</v>
      </c>
      <c r="H23" s="18" t="n">
        <v>332</v>
      </c>
      <c r="I23" s="18" t="n">
        <v>39</v>
      </c>
      <c r="J23" s="18" t="n">
        <v>9</v>
      </c>
      <c r="K23" s="20" t="n">
        <f aca="false">COUNTIF('Outreach Log'!$B:$B,A23)</f>
        <v>2</v>
      </c>
      <c r="L23" s="21" t="n">
        <f aca="false">IF(K23=0,"",_xlfn.MAXIFS('Outreach Log'!$A:$A,'Outreach Log'!$B:$B,A23))</f>
        <v>46305</v>
      </c>
      <c r="M23" s="21" t="n">
        <f aca="false">IF(OR(G23="Onboarded",G23="Not interested",L23=""),"",L23+Dashboard!$C$4)</f>
        <v>46308</v>
      </c>
      <c r="N23" s="20" t="str">
        <f aca="false">IF(M23="","",IF(M23&lt;=Dashboard!$C$3,"Yes","No"))</f>
        <v>Yes</v>
      </c>
    </row>
    <row r="24" customFormat="false" ht="15" hidden="false" customHeight="false" outlineLevel="0" collapsed="false">
      <c r="A24" s="17" t="s">
        <v>129</v>
      </c>
      <c r="B24" s="17" t="s">
        <v>130</v>
      </c>
      <c r="C24" s="17" t="s">
        <v>45</v>
      </c>
      <c r="D24" s="17" t="s">
        <v>76</v>
      </c>
      <c r="E24" s="17" t="s">
        <v>131</v>
      </c>
      <c r="F24" s="17" t="s">
        <v>24</v>
      </c>
      <c r="G24" s="18" t="s">
        <v>34</v>
      </c>
      <c r="H24" s="18" t="n">
        <v>341</v>
      </c>
      <c r="I24" s="18" t="n">
        <v>89</v>
      </c>
      <c r="J24" s="18" t="n">
        <v>31</v>
      </c>
      <c r="K24" s="17" t="n">
        <f aca="false">COUNTIF('Outreach Log'!$B:$B,A24)</f>
        <v>4</v>
      </c>
      <c r="L24" s="19" t="n">
        <f aca="false">IF(K24=0,"",_xlfn.MAXIFS('Outreach Log'!$A:$A,'Outreach Log'!$B:$B,A24))</f>
        <v>46309</v>
      </c>
      <c r="M24" s="19" t="str">
        <f aca="false">IF(OR(G24="Onboarded",G24="Not interested",L24=""),"",L24+Dashboard!$C$4)</f>
        <v/>
      </c>
      <c r="N24" s="17" t="str">
        <f aca="false">IF(M24="","",IF(M24&lt;=Dashboard!$C$3,"Yes","No"))</f>
        <v/>
      </c>
    </row>
    <row r="25" customFormat="false" ht="15" hidden="false" customHeight="false" outlineLevel="0" collapsed="false">
      <c r="A25" s="20" t="s">
        <v>132</v>
      </c>
      <c r="B25" s="20" t="s">
        <v>133</v>
      </c>
      <c r="C25" s="20" t="s">
        <v>45</v>
      </c>
      <c r="D25" s="20" t="s">
        <v>80</v>
      </c>
      <c r="E25" s="20" t="s">
        <v>134</v>
      </c>
      <c r="F25" s="20" t="s">
        <v>24</v>
      </c>
      <c r="G25" s="18" t="s">
        <v>34</v>
      </c>
      <c r="H25" s="18" t="n">
        <v>602</v>
      </c>
      <c r="I25" s="18" t="n">
        <v>158</v>
      </c>
      <c r="J25" s="18" t="n">
        <v>73</v>
      </c>
      <c r="K25" s="20" t="n">
        <f aca="false">COUNTIF('Outreach Log'!$B:$B,A25)</f>
        <v>5</v>
      </c>
      <c r="L25" s="21" t="n">
        <f aca="false">IF(K25=0,"",_xlfn.MAXIFS('Outreach Log'!$A:$A,'Outreach Log'!$B:$B,A25))</f>
        <v>46309</v>
      </c>
      <c r="M25" s="21" t="str">
        <f aca="false">IF(OR(G25="Onboarded",G25="Not interested",L25=""),"",L25+Dashboard!$C$4)</f>
        <v/>
      </c>
      <c r="N25" s="20" t="str">
        <f aca="false">IF(M25="","",IF(M25&lt;=Dashboard!$C$3,"Yes","No"))</f>
        <v/>
      </c>
    </row>
    <row r="26" customFormat="false" ht="15" hidden="false" customHeight="false" outlineLevel="0" collapsed="false">
      <c r="A26" s="17" t="s">
        <v>135</v>
      </c>
      <c r="B26" s="17" t="s">
        <v>136</v>
      </c>
      <c r="C26" s="17" t="s">
        <v>48</v>
      </c>
      <c r="D26" s="17" t="s">
        <v>80</v>
      </c>
      <c r="E26" s="17" t="s">
        <v>137</v>
      </c>
      <c r="F26" s="17" t="s">
        <v>26</v>
      </c>
      <c r="G26" s="18" t="s">
        <v>34</v>
      </c>
      <c r="H26" s="18" t="n">
        <v>624</v>
      </c>
      <c r="I26" s="18" t="n">
        <v>127</v>
      </c>
      <c r="J26" s="18" t="n">
        <v>55</v>
      </c>
      <c r="K26" s="17" t="n">
        <f aca="false">COUNTIF('Outreach Log'!$B:$B,A26)</f>
        <v>3</v>
      </c>
      <c r="L26" s="19" t="n">
        <f aca="false">IF(K26=0,"",_xlfn.MAXIFS('Outreach Log'!$A:$A,'Outreach Log'!$B:$B,A26))</f>
        <v>46308</v>
      </c>
      <c r="M26" s="19" t="str">
        <f aca="false">IF(OR(G26="Onboarded",G26="Not interested",L26=""),"",L26+Dashboard!$C$4)</f>
        <v/>
      </c>
      <c r="N26" s="17" t="str">
        <f aca="false">IF(M26="","",IF(M26&lt;=Dashboard!$C$3,"Yes","No"))</f>
        <v/>
      </c>
    </row>
    <row r="27" customFormat="false" ht="15" hidden="false" customHeight="false" outlineLevel="0" collapsed="false">
      <c r="A27" s="20" t="s">
        <v>138</v>
      </c>
      <c r="B27" s="20" t="s">
        <v>139</v>
      </c>
      <c r="C27" s="20" t="s">
        <v>40</v>
      </c>
      <c r="D27" s="20" t="s">
        <v>80</v>
      </c>
      <c r="E27" s="20" t="s">
        <v>140</v>
      </c>
      <c r="F27" s="20" t="s">
        <v>24</v>
      </c>
      <c r="G27" s="18" t="s">
        <v>34</v>
      </c>
      <c r="H27" s="18" t="n">
        <v>236</v>
      </c>
      <c r="I27" s="18" t="n">
        <v>76</v>
      </c>
      <c r="J27" s="18" t="n">
        <v>26</v>
      </c>
      <c r="K27" s="20" t="n">
        <f aca="false">COUNTIF('Outreach Log'!$B:$B,A27)</f>
        <v>7</v>
      </c>
      <c r="L27" s="21" t="n">
        <f aca="false">IF(K27=0,"",_xlfn.MAXIFS('Outreach Log'!$A:$A,'Outreach Log'!$B:$B,A27))</f>
        <v>46309</v>
      </c>
      <c r="M27" s="21" t="str">
        <f aca="false">IF(OR(G27="Onboarded",G27="Not interested",L27=""),"",L27+Dashboard!$C$4)</f>
        <v/>
      </c>
      <c r="N27" s="20" t="str">
        <f aca="false">IF(M27="","",IF(M27&lt;=Dashboard!$C$3,"Yes","No"))</f>
        <v/>
      </c>
    </row>
    <row r="28" customFormat="false" ht="15" hidden="false" customHeight="false" outlineLevel="0" collapsed="false">
      <c r="A28" s="17" t="s">
        <v>141</v>
      </c>
      <c r="B28" s="17" t="s">
        <v>142</v>
      </c>
      <c r="C28" s="17" t="s">
        <v>50</v>
      </c>
      <c r="D28" s="17" t="s">
        <v>76</v>
      </c>
      <c r="E28" s="17" t="s">
        <v>81</v>
      </c>
      <c r="F28" s="17" t="s">
        <v>26</v>
      </c>
      <c r="G28" s="18" t="s">
        <v>37</v>
      </c>
      <c r="H28" s="18" t="n">
        <v>0</v>
      </c>
      <c r="I28" s="18" t="n">
        <v>0</v>
      </c>
      <c r="J28" s="18" t="n">
        <v>0</v>
      </c>
      <c r="K28" s="17" t="n">
        <f aca="false">COUNTIF('Outreach Log'!$B:$B,A28)</f>
        <v>0</v>
      </c>
      <c r="L28" s="19" t="str">
        <f aca="false">IF(K28=0,"",_xlfn.MAXIFS('Outreach Log'!$A:$A,'Outreach Log'!$B:$B,A28))</f>
        <v/>
      </c>
      <c r="M28" s="19" t="str">
        <f aca="false">IF(OR(G28="Onboarded",G28="Not interested",L28=""),"",L28+Dashboard!$C$4)</f>
        <v/>
      </c>
      <c r="N28" s="17" t="str">
        <f aca="false">IF(M28="","",IF(M28&lt;=Dashboard!$C$3,"Yes","No"))</f>
        <v/>
      </c>
    </row>
    <row r="29" customFormat="false" ht="15" hidden="false" customHeight="false" outlineLevel="0" collapsed="false">
      <c r="A29" s="20" t="s">
        <v>143</v>
      </c>
      <c r="B29" s="20" t="s">
        <v>144</v>
      </c>
      <c r="C29" s="20" t="s">
        <v>43</v>
      </c>
      <c r="D29" s="20" t="s">
        <v>76</v>
      </c>
      <c r="E29" s="20" t="s">
        <v>145</v>
      </c>
      <c r="F29" s="20" t="s">
        <v>24</v>
      </c>
      <c r="G29" s="18" t="s">
        <v>37</v>
      </c>
      <c r="H29" s="18" t="n">
        <v>0</v>
      </c>
      <c r="I29" s="18" t="n">
        <v>0</v>
      </c>
      <c r="J29" s="18" t="n">
        <v>0</v>
      </c>
      <c r="K29" s="20" t="n">
        <f aca="false">COUNTIF('Outreach Log'!$B:$B,A29)</f>
        <v>0</v>
      </c>
      <c r="L29" s="21" t="str">
        <f aca="false">IF(K29=0,"",_xlfn.MAXIFS('Outreach Log'!$A:$A,'Outreach Log'!$B:$B,A29))</f>
        <v/>
      </c>
      <c r="M29" s="21" t="str">
        <f aca="false">IF(OR(G29="Onboarded",G29="Not interested",L29=""),"",L29+Dashboard!$C$4)</f>
        <v/>
      </c>
      <c r="N29" s="20" t="str">
        <f aca="false">IF(M29="","",IF(M29&lt;=Dashboard!$C$3,"Yes","No"))</f>
        <v/>
      </c>
    </row>
    <row r="30" customFormat="false" ht="15" hidden="false" customHeight="false" outlineLevel="0" collapsed="false">
      <c r="A30" s="17" t="s">
        <v>146</v>
      </c>
      <c r="B30" s="17" t="s">
        <v>147</v>
      </c>
      <c r="C30" s="17" t="s">
        <v>48</v>
      </c>
      <c r="D30" s="17" t="s">
        <v>63</v>
      </c>
      <c r="E30" s="17" t="s">
        <v>148</v>
      </c>
      <c r="F30" s="17" t="s">
        <v>24</v>
      </c>
      <c r="G30" s="18" t="s">
        <v>37</v>
      </c>
      <c r="H30" s="18" t="n">
        <v>0</v>
      </c>
      <c r="I30" s="18" t="n">
        <v>0</v>
      </c>
      <c r="J30" s="18" t="n">
        <v>0</v>
      </c>
      <c r="K30" s="17" t="n">
        <f aca="false">COUNTIF('Outreach Log'!$B:$B,A30)</f>
        <v>0</v>
      </c>
      <c r="L30" s="19" t="str">
        <f aca="false">IF(K30=0,"",_xlfn.MAXIFS('Outreach Log'!$A:$A,'Outreach Log'!$B:$B,A30))</f>
        <v/>
      </c>
      <c r="M30" s="19" t="str">
        <f aca="false">IF(OR(G30="Onboarded",G30="Not interested",L30=""),"",L30+Dashboard!$C$4)</f>
        <v/>
      </c>
      <c r="N30" s="17" t="str">
        <f aca="false">IF(M30="","",IF(M30&lt;=Dashboard!$C$3,"Yes","No"))</f>
        <v/>
      </c>
    </row>
    <row r="31" customFormat="false" ht="15" hidden="false" customHeight="false" outlineLevel="0" collapsed="false">
      <c r="A31" s="20" t="s">
        <v>149</v>
      </c>
      <c r="B31" s="20" t="s">
        <v>150</v>
      </c>
      <c r="C31" s="20" t="s">
        <v>45</v>
      </c>
      <c r="D31" s="20" t="s">
        <v>67</v>
      </c>
      <c r="E31" s="20" t="s">
        <v>151</v>
      </c>
      <c r="F31" s="20" t="s">
        <v>26</v>
      </c>
      <c r="G31" s="18" t="s">
        <v>37</v>
      </c>
      <c r="H31" s="18" t="n">
        <v>0</v>
      </c>
      <c r="I31" s="18" t="n">
        <v>0</v>
      </c>
      <c r="J31" s="18" t="n">
        <v>0</v>
      </c>
      <c r="K31" s="20" t="n">
        <f aca="false">COUNTIF('Outreach Log'!$B:$B,A31)</f>
        <v>0</v>
      </c>
      <c r="L31" s="21" t="str">
        <f aca="false">IF(K31=0,"",_xlfn.MAXIFS('Outreach Log'!$A:$A,'Outreach Log'!$B:$B,A31))</f>
        <v/>
      </c>
      <c r="M31" s="21" t="str">
        <f aca="false">IF(OR(G31="Onboarded",G31="Not interested",L31=""),"",L31+Dashboard!$C$4)</f>
        <v/>
      </c>
      <c r="N31" s="20" t="str">
        <f aca="false">IF(M31="","",IF(M31&lt;=Dashboard!$C$3,"Yes","No"))</f>
        <v/>
      </c>
    </row>
  </sheetData>
  <autoFilter ref="A1:N31"/>
  <conditionalFormatting sqref="N2:N31">
    <cfRule type="expression" priority="2" aboveAverage="0" equalAverage="0" bottom="0" percent="0" rank="0" text="" dxfId="8">
      <formula>$N2="Yes"</formula>
    </cfRule>
  </conditionalFormatting>
  <conditionalFormatting sqref="G2:G31">
    <cfRule type="expression" priority="3" aboveAverage="0" equalAverage="0" bottom="0" percent="0" rank="0" text="" dxfId="9">
      <formula>$G2="Onboarded"</formula>
    </cfRule>
  </conditionalFormatting>
  <dataValidations count="2">
    <dataValidation allowBlank="true" errorStyle="stop" operator="between" showDropDown="false" showErrorMessage="false" showInputMessage="false" sqref="G2:G131" type="list">
      <formula1>"Not contacted,Contacted,Interested,Onboarded,Not interested"</formula1>
      <formula2>0</formula2>
    </dataValidation>
    <dataValidation allowBlank="true" errorStyle="stop" operator="between" showDropDown="false" showErrorMessage="false" showInputMessage="false" sqref="F2:F131" type="list">
      <formula1>"Call,Email,WhatsApp"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1"/>
    <col collapsed="false" customWidth="true" hidden="false" outlineLevel="0" max="4" min="4" style="0" width="14"/>
    <col collapsed="false" customWidth="true" hidden="false" outlineLevel="0" max="5" min="5" style="0" width="22"/>
    <col collapsed="false" customWidth="true" hidden="false" outlineLevel="0" max="6" min="6" style="0" width="36"/>
    <col collapsed="false" customWidth="true" hidden="false" outlineLevel="0" max="7" min="7" style="0" width="10"/>
  </cols>
  <sheetData>
    <row r="1" customFormat="false" ht="30" hidden="false" customHeight="true" outlineLevel="0" collapsed="false">
      <c r="A1" s="16" t="s">
        <v>152</v>
      </c>
      <c r="B1" s="16" t="s">
        <v>51</v>
      </c>
      <c r="C1" s="16" t="s">
        <v>18</v>
      </c>
      <c r="D1" s="16" t="s">
        <v>39</v>
      </c>
      <c r="E1" s="16" t="s">
        <v>153</v>
      </c>
      <c r="F1" s="16" t="s">
        <v>52</v>
      </c>
      <c r="G1" s="16" t="s">
        <v>154</v>
      </c>
    </row>
    <row r="2" customFormat="false" ht="15" hidden="false" customHeight="false" outlineLevel="0" collapsed="false">
      <c r="A2" s="22" t="n">
        <v>46296</v>
      </c>
      <c r="B2" s="18" t="s">
        <v>100</v>
      </c>
      <c r="C2" s="18" t="s">
        <v>24</v>
      </c>
      <c r="D2" s="18" t="s">
        <v>155</v>
      </c>
      <c r="E2" s="18" t="s">
        <v>156</v>
      </c>
      <c r="F2" s="17" t="str">
        <f aca="false">IFERROR(INDEX(Colleges!$B:$B,MATCH(B2,Colleges!$A:$A,0)),"Unknown ID")</f>
        <v>Bluebell School of Management</v>
      </c>
      <c r="G2" s="17" t="n">
        <f aca="false">IF(OR(E2="Interested",E2="Shared with students",E2="Follow-up requested",E2="Queries resolved",E2="Registration help"),1,0)</f>
        <v>0</v>
      </c>
    </row>
    <row r="3" customFormat="false" ht="15" hidden="false" customHeight="false" outlineLevel="0" collapsed="false">
      <c r="A3" s="22" t="n">
        <v>46296</v>
      </c>
      <c r="B3" s="18" t="s">
        <v>69</v>
      </c>
      <c r="C3" s="18" t="s">
        <v>28</v>
      </c>
      <c r="D3" s="18" t="s">
        <v>155</v>
      </c>
      <c r="E3" s="18" t="s">
        <v>156</v>
      </c>
      <c r="F3" s="20" t="str">
        <f aca="false">IFERROR(INDEX(Colleges!$B:$B,MATCH(B3,Colleges!$A:$A,0)),"Unknown ID")</f>
        <v>Sunrise Institute of Technology</v>
      </c>
      <c r="G3" s="20" t="n">
        <f aca="false">IF(OR(E3="Interested",E3="Shared with students",E3="Follow-up requested",E3="Queries resolved",E3="Registration help"),1,0)</f>
        <v>0</v>
      </c>
    </row>
    <row r="4" customFormat="false" ht="15" hidden="false" customHeight="false" outlineLevel="0" collapsed="false">
      <c r="A4" s="22" t="n">
        <v>46296</v>
      </c>
      <c r="B4" s="18" t="s">
        <v>120</v>
      </c>
      <c r="C4" s="18" t="s">
        <v>24</v>
      </c>
      <c r="D4" s="18" t="s">
        <v>155</v>
      </c>
      <c r="E4" s="18" t="s">
        <v>156</v>
      </c>
      <c r="F4" s="17" t="str">
        <f aca="false">IFERROR(INDEX(Colleges!$B:$B,MATCH(B4,Colleges!$A:$A,0)),"Unknown ID")</f>
        <v>Meadow College of Commerce</v>
      </c>
      <c r="G4" s="17" t="n">
        <f aca="false">IF(OR(E4="Interested",E4="Shared with students",E4="Follow-up requested",E4="Queries resolved",E4="Registration help"),1,0)</f>
        <v>0</v>
      </c>
    </row>
    <row r="5" customFormat="false" ht="15" hidden="false" customHeight="false" outlineLevel="0" collapsed="false">
      <c r="A5" s="22" t="n">
        <v>46296</v>
      </c>
      <c r="B5" s="18" t="s">
        <v>72</v>
      </c>
      <c r="C5" s="18" t="s">
        <v>28</v>
      </c>
      <c r="D5" s="18" t="s">
        <v>155</v>
      </c>
      <c r="E5" s="18" t="s">
        <v>156</v>
      </c>
      <c r="F5" s="20" t="str">
        <f aca="false">IFERROR(INDEX(Colleges!$B:$B,MATCH(B5,Colleges!$A:$A,0)),"Unknown ID")</f>
        <v>Lakeview Institute of Technology</v>
      </c>
      <c r="G5" s="20" t="n">
        <f aca="false">IF(OR(E5="Interested",E5="Shared with students",E5="Follow-up requested",E5="Queries resolved",E5="Registration help"),1,0)</f>
        <v>0</v>
      </c>
    </row>
    <row r="6" customFormat="false" ht="15" hidden="false" customHeight="false" outlineLevel="0" collapsed="false">
      <c r="A6" s="22" t="n">
        <v>46296</v>
      </c>
      <c r="B6" s="18" t="s">
        <v>82</v>
      </c>
      <c r="C6" s="18" t="s">
        <v>26</v>
      </c>
      <c r="D6" s="18" t="s">
        <v>155</v>
      </c>
      <c r="E6" s="18" t="s">
        <v>157</v>
      </c>
      <c r="F6" s="17" t="str">
        <f aca="false">IFERROR(INDEX(Colleges!$B:$B,MATCH(B6,Colleges!$A:$A,0)),"Unknown ID")</f>
        <v>Silver Oak School of Management</v>
      </c>
      <c r="G6" s="17" t="n">
        <f aca="false">IF(OR(E6="Interested",E6="Shared with students",E6="Follow-up requested",E6="Queries resolved",E6="Registration help"),1,0)</f>
        <v>0</v>
      </c>
    </row>
    <row r="7" customFormat="false" ht="15" hidden="false" customHeight="false" outlineLevel="0" collapsed="false">
      <c r="A7" s="22" t="n">
        <v>46296</v>
      </c>
      <c r="B7" s="18" t="s">
        <v>97</v>
      </c>
      <c r="C7" s="18" t="s">
        <v>26</v>
      </c>
      <c r="D7" s="18" t="s">
        <v>155</v>
      </c>
      <c r="E7" s="18" t="s">
        <v>156</v>
      </c>
      <c r="F7" s="20" t="str">
        <f aca="false">IFERROR(INDEX(Colleges!$B:$B,MATCH(B7,Colleges!$A:$A,0)),"Unknown ID")</f>
        <v>Eastwood College of Arts &amp; Science</v>
      </c>
      <c r="G7" s="20" t="n">
        <f aca="false">IF(OR(E7="Interested",E7="Shared with students",E7="Follow-up requested",E7="Queries resolved",E7="Registration help"),1,0)</f>
        <v>0</v>
      </c>
    </row>
    <row r="8" customFormat="false" ht="15" hidden="false" customHeight="false" outlineLevel="0" collapsed="false">
      <c r="A8" s="22" t="n">
        <v>46296</v>
      </c>
      <c r="B8" s="18" t="s">
        <v>108</v>
      </c>
      <c r="C8" s="18" t="s">
        <v>28</v>
      </c>
      <c r="D8" s="18" t="s">
        <v>155</v>
      </c>
      <c r="E8" s="18" t="s">
        <v>42</v>
      </c>
      <c r="F8" s="17" t="str">
        <f aca="false">IFERROR(INDEX(Colleges!$B:$B,MATCH(B8,Colleges!$A:$A,0)),"Unknown ID")</f>
        <v>Oakridge College of Commerce</v>
      </c>
      <c r="G8" s="17" t="n">
        <f aca="false">IF(OR(E8="Interested",E8="Shared with students",E8="Follow-up requested",E8="Queries resolved",E8="Registration help"),1,0)</f>
        <v>1</v>
      </c>
    </row>
    <row r="9" customFormat="false" ht="15" hidden="false" customHeight="false" outlineLevel="0" collapsed="false">
      <c r="A9" s="22" t="n">
        <v>46296</v>
      </c>
      <c r="B9" s="18" t="s">
        <v>69</v>
      </c>
      <c r="C9" s="18" t="s">
        <v>24</v>
      </c>
      <c r="D9" s="18" t="s">
        <v>155</v>
      </c>
      <c r="E9" s="18" t="s">
        <v>158</v>
      </c>
      <c r="F9" s="20" t="str">
        <f aca="false">IFERROR(INDEX(Colleges!$B:$B,MATCH(B9,Colleges!$A:$A,0)),"Unknown ID")</f>
        <v>Sunrise Institute of Technology</v>
      </c>
      <c r="G9" s="20" t="n">
        <f aca="false">IF(OR(E9="Interested",E9="Shared with students",E9="Follow-up requested",E9="Queries resolved",E9="Registration help"),1,0)</f>
        <v>1</v>
      </c>
    </row>
    <row r="10" customFormat="false" ht="15" hidden="false" customHeight="false" outlineLevel="0" collapsed="false">
      <c r="A10" s="22" t="n">
        <v>46296</v>
      </c>
      <c r="B10" s="18" t="s">
        <v>108</v>
      </c>
      <c r="C10" s="18" t="s">
        <v>28</v>
      </c>
      <c r="D10" s="18" t="s">
        <v>155</v>
      </c>
      <c r="E10" s="18" t="s">
        <v>156</v>
      </c>
      <c r="F10" s="17" t="str">
        <f aca="false">IFERROR(INDEX(Colleges!$B:$B,MATCH(B10,Colleges!$A:$A,0)),"Unknown ID")</f>
        <v>Oakridge College of Commerce</v>
      </c>
      <c r="G10" s="17" t="n">
        <f aca="false">IF(OR(E10="Interested",E10="Shared with students",E10="Follow-up requested",E10="Queries resolved",E10="Registration help"),1,0)</f>
        <v>0</v>
      </c>
    </row>
    <row r="11" customFormat="false" ht="15" hidden="false" customHeight="false" outlineLevel="0" collapsed="false">
      <c r="A11" s="22" t="n">
        <v>46297</v>
      </c>
      <c r="B11" s="18" t="s">
        <v>97</v>
      </c>
      <c r="C11" s="18" t="s">
        <v>24</v>
      </c>
      <c r="D11" s="18" t="s">
        <v>155</v>
      </c>
      <c r="E11" s="18" t="s">
        <v>156</v>
      </c>
      <c r="F11" s="20" t="str">
        <f aca="false">IFERROR(INDEX(Colleges!$B:$B,MATCH(B11,Colleges!$A:$A,0)),"Unknown ID")</f>
        <v>Eastwood College of Arts &amp; Science</v>
      </c>
      <c r="G11" s="20" t="n">
        <f aca="false">IF(OR(E11="Interested",E11="Shared with students",E11="Follow-up requested",E11="Queries resolved",E11="Registration help"),1,0)</f>
        <v>0</v>
      </c>
    </row>
    <row r="12" customFormat="false" ht="15" hidden="false" customHeight="false" outlineLevel="0" collapsed="false">
      <c r="A12" s="22" t="n">
        <v>46297</v>
      </c>
      <c r="B12" s="18" t="s">
        <v>111</v>
      </c>
      <c r="C12" s="18" t="s">
        <v>24</v>
      </c>
      <c r="D12" s="18" t="s">
        <v>155</v>
      </c>
      <c r="E12" s="18" t="s">
        <v>156</v>
      </c>
      <c r="F12" s="17" t="str">
        <f aca="false">IFERROR(INDEX(Colleges!$B:$B,MATCH(B12,Colleges!$A:$A,0)),"Unknown ID")</f>
        <v>Brightwater College of Arts &amp; Science</v>
      </c>
      <c r="G12" s="17" t="n">
        <f aca="false">IF(OR(E12="Interested",E12="Shared with students",E12="Follow-up requested",E12="Queries resolved",E12="Registration help"),1,0)</f>
        <v>0</v>
      </c>
    </row>
    <row r="13" customFormat="false" ht="15" hidden="false" customHeight="false" outlineLevel="0" collapsed="false">
      <c r="A13" s="22" t="n">
        <v>46297</v>
      </c>
      <c r="B13" s="18" t="s">
        <v>88</v>
      </c>
      <c r="C13" s="18" t="s">
        <v>26</v>
      </c>
      <c r="D13" s="18" t="s">
        <v>159</v>
      </c>
      <c r="E13" s="18" t="s">
        <v>160</v>
      </c>
      <c r="F13" s="20" t="str">
        <f aca="false">IFERROR(INDEX(Colleges!$B:$B,MATCH(B13,Colleges!$A:$A,0)),"Unknown ID")</f>
        <v>Horizon School of Management</v>
      </c>
      <c r="G13" s="20" t="n">
        <f aca="false">IF(OR(E13="Interested",E13="Shared with students",E13="Follow-up requested",E13="Queries resolved",E13="Registration help"),1,0)</f>
        <v>1</v>
      </c>
    </row>
    <row r="14" customFormat="false" ht="15" hidden="false" customHeight="false" outlineLevel="0" collapsed="false">
      <c r="A14" s="22" t="n">
        <v>46297</v>
      </c>
      <c r="B14" s="18" t="s">
        <v>135</v>
      </c>
      <c r="C14" s="18" t="s">
        <v>24</v>
      </c>
      <c r="D14" s="18" t="s">
        <v>155</v>
      </c>
      <c r="E14" s="18" t="s">
        <v>42</v>
      </c>
      <c r="F14" s="17" t="str">
        <f aca="false">IFERROR(INDEX(Colleges!$B:$B,MATCH(B14,Colleges!$A:$A,0)),"Unknown ID")</f>
        <v>Hillside College of Commerce</v>
      </c>
      <c r="G14" s="17" t="n">
        <f aca="false">IF(OR(E14="Interested",E14="Shared with students",E14="Follow-up requested",E14="Queries resolved",E14="Registration help"),1,0)</f>
        <v>1</v>
      </c>
    </row>
    <row r="15" customFormat="false" ht="15" hidden="false" customHeight="false" outlineLevel="0" collapsed="false">
      <c r="A15" s="22" t="n">
        <v>46297</v>
      </c>
      <c r="B15" s="18" t="s">
        <v>123</v>
      </c>
      <c r="C15" s="18" t="s">
        <v>24</v>
      </c>
      <c r="D15" s="18" t="s">
        <v>159</v>
      </c>
      <c r="E15" s="18" t="s">
        <v>161</v>
      </c>
      <c r="F15" s="20" t="str">
        <f aca="false">IFERROR(INDEX(Colleges!$B:$B,MATCH(B15,Colleges!$A:$A,0)),"Unknown ID")</f>
        <v>Redwood Institute of Technology</v>
      </c>
      <c r="G15" s="20" t="n">
        <f aca="false">IF(OR(E15="Interested",E15="Shared with students",E15="Follow-up requested",E15="Queries resolved",E15="Registration help"),1,0)</f>
        <v>0</v>
      </c>
    </row>
    <row r="16" customFormat="false" ht="15" hidden="false" customHeight="false" outlineLevel="0" collapsed="false">
      <c r="A16" s="22" t="n">
        <v>46297</v>
      </c>
      <c r="B16" s="18" t="s">
        <v>138</v>
      </c>
      <c r="C16" s="18" t="s">
        <v>24</v>
      </c>
      <c r="D16" s="18" t="s">
        <v>155</v>
      </c>
      <c r="E16" s="18" t="s">
        <v>47</v>
      </c>
      <c r="F16" s="17" t="str">
        <f aca="false">IFERROR(INDEX(Colleges!$B:$B,MATCH(B16,Colleges!$A:$A,0)),"Unknown ID")</f>
        <v>Ivory College of Commerce</v>
      </c>
      <c r="G16" s="17" t="n">
        <f aca="false">IF(OR(E16="Interested",E16="Shared with students",E16="Follow-up requested",E16="Queries resolved",E16="Registration help"),1,0)</f>
        <v>0</v>
      </c>
    </row>
    <row r="17" customFormat="false" ht="15" hidden="false" customHeight="false" outlineLevel="0" collapsed="false">
      <c r="A17" s="22" t="n">
        <v>46297</v>
      </c>
      <c r="B17" s="18" t="s">
        <v>82</v>
      </c>
      <c r="C17" s="18" t="s">
        <v>26</v>
      </c>
      <c r="D17" s="18" t="s">
        <v>155</v>
      </c>
      <c r="E17" s="18" t="s">
        <v>156</v>
      </c>
      <c r="F17" s="20" t="str">
        <f aca="false">IFERROR(INDEX(Colleges!$B:$B,MATCH(B17,Colleges!$A:$A,0)),"Unknown ID")</f>
        <v>Silver Oak School of Management</v>
      </c>
      <c r="G17" s="20" t="n">
        <f aca="false">IF(OR(E17="Interested",E17="Shared with students",E17="Follow-up requested",E17="Queries resolved",E17="Registration help"),1,0)</f>
        <v>0</v>
      </c>
    </row>
    <row r="18" customFormat="false" ht="15" hidden="false" customHeight="false" outlineLevel="0" collapsed="false">
      <c r="A18" s="22" t="n">
        <v>46297</v>
      </c>
      <c r="B18" s="18" t="s">
        <v>61</v>
      </c>
      <c r="C18" s="18" t="s">
        <v>28</v>
      </c>
      <c r="D18" s="18" t="s">
        <v>155</v>
      </c>
      <c r="E18" s="18" t="s">
        <v>156</v>
      </c>
      <c r="F18" s="17" t="str">
        <f aca="false">IFERROR(INDEX(Colleges!$B:$B,MATCH(B18,Colleges!$A:$A,0)),"Unknown ID")</f>
        <v>Northgate College of Arts &amp; Science</v>
      </c>
      <c r="G18" s="17" t="n">
        <f aca="false">IF(OR(E18="Interested",E18="Shared with students",E18="Follow-up requested",E18="Queries resolved",E18="Registration help"),1,0)</f>
        <v>0</v>
      </c>
    </row>
    <row r="19" customFormat="false" ht="15" hidden="false" customHeight="false" outlineLevel="0" collapsed="false">
      <c r="A19" s="22" t="n">
        <v>46297</v>
      </c>
      <c r="B19" s="18" t="s">
        <v>120</v>
      </c>
      <c r="C19" s="18" t="s">
        <v>28</v>
      </c>
      <c r="D19" s="18" t="s">
        <v>155</v>
      </c>
      <c r="E19" s="18" t="s">
        <v>162</v>
      </c>
      <c r="F19" s="20" t="str">
        <f aca="false">IFERROR(INDEX(Colleges!$B:$B,MATCH(B19,Colleges!$A:$A,0)),"Unknown ID")</f>
        <v>Meadow College of Commerce</v>
      </c>
      <c r="G19" s="20" t="n">
        <f aca="false">IF(OR(E19="Interested",E19="Shared with students",E19="Follow-up requested",E19="Queries resolved",E19="Registration help"),1,0)</f>
        <v>1</v>
      </c>
    </row>
    <row r="20" customFormat="false" ht="15" hidden="false" customHeight="false" outlineLevel="0" collapsed="false">
      <c r="A20" s="22" t="n">
        <v>46297</v>
      </c>
      <c r="B20" s="18" t="s">
        <v>97</v>
      </c>
      <c r="C20" s="18" t="s">
        <v>28</v>
      </c>
      <c r="D20" s="18" t="s">
        <v>155</v>
      </c>
      <c r="E20" s="18" t="s">
        <v>156</v>
      </c>
      <c r="F20" s="17" t="str">
        <f aca="false">IFERROR(INDEX(Colleges!$B:$B,MATCH(B20,Colleges!$A:$A,0)),"Unknown ID")</f>
        <v>Eastwood College of Arts &amp; Science</v>
      </c>
      <c r="G20" s="17" t="n">
        <f aca="false">IF(OR(E20="Interested",E20="Shared with students",E20="Follow-up requested",E20="Queries resolved",E20="Registration help"),1,0)</f>
        <v>0</v>
      </c>
    </row>
    <row r="21" customFormat="false" ht="15" hidden="false" customHeight="false" outlineLevel="0" collapsed="false">
      <c r="A21" s="22" t="n">
        <v>46298</v>
      </c>
      <c r="B21" s="18" t="s">
        <v>108</v>
      </c>
      <c r="C21" s="18" t="s">
        <v>24</v>
      </c>
      <c r="D21" s="18" t="s">
        <v>155</v>
      </c>
      <c r="E21" s="18" t="s">
        <v>158</v>
      </c>
      <c r="F21" s="20" t="str">
        <f aca="false">IFERROR(INDEX(Colleges!$B:$B,MATCH(B21,Colleges!$A:$A,0)),"Unknown ID")</f>
        <v>Oakridge College of Commerce</v>
      </c>
      <c r="G21" s="20" t="n">
        <f aca="false">IF(OR(E21="Interested",E21="Shared with students",E21="Follow-up requested",E21="Queries resolved",E21="Registration help"),1,0)</f>
        <v>1</v>
      </c>
    </row>
    <row r="22" customFormat="false" ht="15" hidden="false" customHeight="false" outlineLevel="0" collapsed="false">
      <c r="A22" s="22" t="n">
        <v>46298</v>
      </c>
      <c r="B22" s="18" t="s">
        <v>120</v>
      </c>
      <c r="C22" s="18" t="s">
        <v>28</v>
      </c>
      <c r="D22" s="18" t="s">
        <v>155</v>
      </c>
      <c r="E22" s="18" t="s">
        <v>158</v>
      </c>
      <c r="F22" s="17" t="str">
        <f aca="false">IFERROR(INDEX(Colleges!$B:$B,MATCH(B22,Colleges!$A:$A,0)),"Unknown ID")</f>
        <v>Meadow College of Commerce</v>
      </c>
      <c r="G22" s="17" t="n">
        <f aca="false">IF(OR(E22="Interested",E22="Shared with students",E22="Follow-up requested",E22="Queries resolved",E22="Registration help"),1,0)</f>
        <v>1</v>
      </c>
    </row>
    <row r="23" customFormat="false" ht="15" hidden="false" customHeight="false" outlineLevel="0" collapsed="false">
      <c r="A23" s="22" t="n">
        <v>46298</v>
      </c>
      <c r="B23" s="18" t="s">
        <v>138</v>
      </c>
      <c r="C23" s="18" t="s">
        <v>26</v>
      </c>
      <c r="D23" s="18" t="s">
        <v>159</v>
      </c>
      <c r="E23" s="18" t="s">
        <v>161</v>
      </c>
      <c r="F23" s="20" t="str">
        <f aca="false">IFERROR(INDEX(Colleges!$B:$B,MATCH(B23,Colleges!$A:$A,0)),"Unknown ID")</f>
        <v>Ivory College of Commerce</v>
      </c>
      <c r="G23" s="20" t="n">
        <f aca="false">IF(OR(E23="Interested",E23="Shared with students",E23="Follow-up requested",E23="Queries resolved",E23="Registration help"),1,0)</f>
        <v>0</v>
      </c>
    </row>
    <row r="24" customFormat="false" ht="15" hidden="false" customHeight="false" outlineLevel="0" collapsed="false">
      <c r="A24" s="22" t="n">
        <v>46298</v>
      </c>
      <c r="B24" s="18" t="s">
        <v>100</v>
      </c>
      <c r="C24" s="18" t="s">
        <v>28</v>
      </c>
      <c r="D24" s="18" t="s">
        <v>159</v>
      </c>
      <c r="E24" s="18" t="s">
        <v>160</v>
      </c>
      <c r="F24" s="17" t="str">
        <f aca="false">IFERROR(INDEX(Colleges!$B:$B,MATCH(B24,Colleges!$A:$A,0)),"Unknown ID")</f>
        <v>Bluebell School of Management</v>
      </c>
      <c r="G24" s="17" t="n">
        <f aca="false">IF(OR(E24="Interested",E24="Shared with students",E24="Follow-up requested",E24="Queries resolved",E24="Registration help"),1,0)</f>
        <v>1</v>
      </c>
    </row>
    <row r="25" customFormat="false" ht="15" hidden="false" customHeight="false" outlineLevel="0" collapsed="false">
      <c r="A25" s="22" t="n">
        <v>46298</v>
      </c>
      <c r="B25" s="18" t="s">
        <v>78</v>
      </c>
      <c r="C25" s="18" t="s">
        <v>26</v>
      </c>
      <c r="D25" s="18" t="s">
        <v>155</v>
      </c>
      <c r="E25" s="18" t="s">
        <v>156</v>
      </c>
      <c r="F25" s="20" t="str">
        <f aca="false">IFERROR(INDEX(Colleges!$B:$B,MATCH(B25,Colleges!$A:$A,0)),"Unknown ID")</f>
        <v>Crescent College of Commerce</v>
      </c>
      <c r="G25" s="20" t="n">
        <f aca="false">IF(OR(E25="Interested",E25="Shared with students",E25="Follow-up requested",E25="Queries resolved",E25="Registration help"),1,0)</f>
        <v>0</v>
      </c>
    </row>
    <row r="26" customFormat="false" ht="15" hidden="false" customHeight="false" outlineLevel="0" collapsed="false">
      <c r="A26" s="22" t="n">
        <v>46298</v>
      </c>
      <c r="B26" s="18" t="s">
        <v>132</v>
      </c>
      <c r="C26" s="18" t="s">
        <v>24</v>
      </c>
      <c r="D26" s="18" t="s">
        <v>155</v>
      </c>
      <c r="E26" s="18" t="s">
        <v>162</v>
      </c>
      <c r="F26" s="17" t="str">
        <f aca="false">IFERROR(INDEX(Colleges!$B:$B,MATCH(B26,Colleges!$A:$A,0)),"Unknown ID")</f>
        <v>Goldcrest College of Commerce</v>
      </c>
      <c r="G26" s="17" t="n">
        <f aca="false">IF(OR(E26="Interested",E26="Shared with students",E26="Follow-up requested",E26="Queries resolved",E26="Registration help"),1,0)</f>
        <v>1</v>
      </c>
    </row>
    <row r="27" customFormat="false" ht="15" hidden="false" customHeight="false" outlineLevel="0" collapsed="false">
      <c r="A27" s="22" t="n">
        <v>46298</v>
      </c>
      <c r="B27" s="18" t="s">
        <v>132</v>
      </c>
      <c r="C27" s="18" t="s">
        <v>24</v>
      </c>
      <c r="D27" s="18" t="s">
        <v>159</v>
      </c>
      <c r="E27" s="18" t="s">
        <v>161</v>
      </c>
      <c r="F27" s="20" t="str">
        <f aca="false">IFERROR(INDEX(Colleges!$B:$B,MATCH(B27,Colleges!$A:$A,0)),"Unknown ID")</f>
        <v>Goldcrest College of Commerce</v>
      </c>
      <c r="G27" s="20" t="n">
        <f aca="false">IF(OR(E27="Interested",E27="Shared with students",E27="Follow-up requested",E27="Queries resolved",E27="Registration help"),1,0)</f>
        <v>0</v>
      </c>
    </row>
    <row r="28" customFormat="false" ht="15" hidden="false" customHeight="false" outlineLevel="0" collapsed="false">
      <c r="A28" s="22" t="n">
        <v>46300</v>
      </c>
      <c r="B28" s="18" t="s">
        <v>117</v>
      </c>
      <c r="C28" s="18" t="s">
        <v>28</v>
      </c>
      <c r="D28" s="18" t="s">
        <v>159</v>
      </c>
      <c r="E28" s="18" t="s">
        <v>161</v>
      </c>
      <c r="F28" s="17" t="str">
        <f aca="false">IFERROR(INDEX(Colleges!$B:$B,MATCH(B28,Colleges!$A:$A,0)),"Unknown ID")</f>
        <v>Starlight Institute of Technology</v>
      </c>
      <c r="G28" s="17" t="n">
        <f aca="false">IF(OR(E28="Interested",E28="Shared with students",E28="Follow-up requested",E28="Queries resolved",E28="Registration help"),1,0)</f>
        <v>0</v>
      </c>
    </row>
    <row r="29" customFormat="false" ht="15" hidden="false" customHeight="false" outlineLevel="0" collapsed="false">
      <c r="A29" s="22" t="n">
        <v>46300</v>
      </c>
      <c r="B29" s="18" t="s">
        <v>120</v>
      </c>
      <c r="C29" s="18" t="s">
        <v>28</v>
      </c>
      <c r="D29" s="18" t="s">
        <v>159</v>
      </c>
      <c r="E29" s="18" t="s">
        <v>163</v>
      </c>
      <c r="F29" s="20" t="str">
        <f aca="false">IFERROR(INDEX(Colleges!$B:$B,MATCH(B29,Colleges!$A:$A,0)),"Unknown ID")</f>
        <v>Meadow College of Commerce</v>
      </c>
      <c r="G29" s="20" t="n">
        <f aca="false">IF(OR(E29="Interested",E29="Shared with students",E29="Follow-up requested",E29="Queries resolved",E29="Registration help"),1,0)</f>
        <v>1</v>
      </c>
    </row>
    <row r="30" customFormat="false" ht="15" hidden="false" customHeight="false" outlineLevel="0" collapsed="false">
      <c r="A30" s="22" t="n">
        <v>46300</v>
      </c>
      <c r="B30" s="18" t="s">
        <v>97</v>
      </c>
      <c r="C30" s="18" t="s">
        <v>24</v>
      </c>
      <c r="D30" s="18" t="s">
        <v>155</v>
      </c>
      <c r="E30" s="18" t="s">
        <v>156</v>
      </c>
      <c r="F30" s="17" t="str">
        <f aca="false">IFERROR(INDEX(Colleges!$B:$B,MATCH(B30,Colleges!$A:$A,0)),"Unknown ID")</f>
        <v>Eastwood College of Arts &amp; Science</v>
      </c>
      <c r="G30" s="17" t="n">
        <f aca="false">IF(OR(E30="Interested",E30="Shared with students",E30="Follow-up requested",E30="Queries resolved",E30="Registration help"),1,0)</f>
        <v>0</v>
      </c>
    </row>
    <row r="31" customFormat="false" ht="15" hidden="false" customHeight="false" outlineLevel="0" collapsed="false">
      <c r="A31" s="22" t="n">
        <v>46300</v>
      </c>
      <c r="B31" s="18" t="s">
        <v>138</v>
      </c>
      <c r="C31" s="18" t="s">
        <v>28</v>
      </c>
      <c r="D31" s="18" t="s">
        <v>155</v>
      </c>
      <c r="E31" s="18" t="s">
        <v>42</v>
      </c>
      <c r="F31" s="20" t="str">
        <f aca="false">IFERROR(INDEX(Colleges!$B:$B,MATCH(B31,Colleges!$A:$A,0)),"Unknown ID")</f>
        <v>Ivory College of Commerce</v>
      </c>
      <c r="G31" s="20" t="n">
        <f aca="false">IF(OR(E31="Interested",E31="Shared with students",E31="Follow-up requested",E31="Queries resolved",E31="Registration help"),1,0)</f>
        <v>1</v>
      </c>
    </row>
    <row r="32" customFormat="false" ht="15" hidden="false" customHeight="false" outlineLevel="0" collapsed="false">
      <c r="A32" s="22" t="n">
        <v>46300</v>
      </c>
      <c r="B32" s="18" t="s">
        <v>74</v>
      </c>
      <c r="C32" s="18" t="s">
        <v>26</v>
      </c>
      <c r="D32" s="18" t="s">
        <v>159</v>
      </c>
      <c r="E32" s="18" t="s">
        <v>161</v>
      </c>
      <c r="F32" s="17" t="str">
        <f aca="false">IFERROR(INDEX(Colleges!$B:$B,MATCH(B32,Colleges!$A:$A,0)),"Unknown ID")</f>
        <v>Greenfield School of Management</v>
      </c>
      <c r="G32" s="17" t="n">
        <f aca="false">IF(OR(E32="Interested",E32="Shared with students",E32="Follow-up requested",E32="Queries resolved",E32="Registration help"),1,0)</f>
        <v>0</v>
      </c>
    </row>
    <row r="33" customFormat="false" ht="15" hidden="false" customHeight="false" outlineLevel="0" collapsed="false">
      <c r="A33" s="22" t="n">
        <v>46300</v>
      </c>
      <c r="B33" s="18" t="s">
        <v>61</v>
      </c>
      <c r="C33" s="18" t="s">
        <v>24</v>
      </c>
      <c r="D33" s="18" t="s">
        <v>155</v>
      </c>
      <c r="E33" s="18" t="s">
        <v>157</v>
      </c>
      <c r="F33" s="20" t="str">
        <f aca="false">IFERROR(INDEX(Colleges!$B:$B,MATCH(B33,Colleges!$A:$A,0)),"Unknown ID")</f>
        <v>Northgate College of Arts &amp; Science</v>
      </c>
      <c r="G33" s="20" t="n">
        <f aca="false">IF(OR(E33="Interested",E33="Shared with students",E33="Follow-up requested",E33="Queries resolved",E33="Registration help"),1,0)</f>
        <v>0</v>
      </c>
    </row>
    <row r="34" customFormat="false" ht="15" hidden="false" customHeight="false" outlineLevel="0" collapsed="false">
      <c r="A34" s="22" t="n">
        <v>46300</v>
      </c>
      <c r="B34" s="18" t="s">
        <v>117</v>
      </c>
      <c r="C34" s="18" t="s">
        <v>24</v>
      </c>
      <c r="D34" s="18" t="s">
        <v>155</v>
      </c>
      <c r="E34" s="18" t="s">
        <v>47</v>
      </c>
      <c r="F34" s="17" t="str">
        <f aca="false">IFERROR(INDEX(Colleges!$B:$B,MATCH(B34,Colleges!$A:$A,0)),"Unknown ID")</f>
        <v>Starlight Institute of Technology</v>
      </c>
      <c r="G34" s="17" t="n">
        <f aca="false">IF(OR(E34="Interested",E34="Shared with students",E34="Follow-up requested",E34="Queries resolved",E34="Registration help"),1,0)</f>
        <v>0</v>
      </c>
    </row>
    <row r="35" customFormat="false" ht="15" hidden="false" customHeight="false" outlineLevel="0" collapsed="false">
      <c r="A35" s="22" t="n">
        <v>46301</v>
      </c>
      <c r="B35" s="18" t="s">
        <v>132</v>
      </c>
      <c r="C35" s="18" t="s">
        <v>24</v>
      </c>
      <c r="D35" s="18" t="s">
        <v>155</v>
      </c>
      <c r="E35" s="18" t="s">
        <v>42</v>
      </c>
      <c r="F35" s="20" t="str">
        <f aca="false">IFERROR(INDEX(Colleges!$B:$B,MATCH(B35,Colleges!$A:$A,0)),"Unknown ID")</f>
        <v>Goldcrest College of Commerce</v>
      </c>
      <c r="G35" s="20" t="n">
        <f aca="false">IF(OR(E35="Interested",E35="Shared with students",E35="Follow-up requested",E35="Queries resolved",E35="Registration help"),1,0)</f>
        <v>1</v>
      </c>
    </row>
    <row r="36" customFormat="false" ht="15" hidden="false" customHeight="false" outlineLevel="0" collapsed="false">
      <c r="A36" s="22" t="n">
        <v>46301</v>
      </c>
      <c r="B36" s="18" t="s">
        <v>111</v>
      </c>
      <c r="C36" s="18" t="s">
        <v>26</v>
      </c>
      <c r="D36" s="18" t="s">
        <v>159</v>
      </c>
      <c r="E36" s="18" t="s">
        <v>163</v>
      </c>
      <c r="F36" s="17" t="str">
        <f aca="false">IFERROR(INDEX(Colleges!$B:$B,MATCH(B36,Colleges!$A:$A,0)),"Unknown ID")</f>
        <v>Brightwater College of Arts &amp; Science</v>
      </c>
      <c r="G36" s="17" t="n">
        <f aca="false">IF(OR(E36="Interested",E36="Shared with students",E36="Follow-up requested",E36="Queries resolved",E36="Registration help"),1,0)</f>
        <v>1</v>
      </c>
    </row>
    <row r="37" customFormat="false" ht="15" hidden="false" customHeight="false" outlineLevel="0" collapsed="false">
      <c r="A37" s="22" t="n">
        <v>46301</v>
      </c>
      <c r="B37" s="18" t="s">
        <v>74</v>
      </c>
      <c r="C37" s="18" t="s">
        <v>26</v>
      </c>
      <c r="D37" s="18" t="s">
        <v>155</v>
      </c>
      <c r="E37" s="18" t="s">
        <v>156</v>
      </c>
      <c r="F37" s="20" t="str">
        <f aca="false">IFERROR(INDEX(Colleges!$B:$B,MATCH(B37,Colleges!$A:$A,0)),"Unknown ID")</f>
        <v>Greenfield School of Management</v>
      </c>
      <c r="G37" s="20" t="n">
        <f aca="false">IF(OR(E37="Interested",E37="Shared with students",E37="Follow-up requested",E37="Queries resolved",E37="Registration help"),1,0)</f>
        <v>0</v>
      </c>
    </row>
    <row r="38" customFormat="false" ht="15" hidden="false" customHeight="false" outlineLevel="0" collapsed="false">
      <c r="A38" s="22" t="n">
        <v>46301</v>
      </c>
      <c r="B38" s="18" t="s">
        <v>106</v>
      </c>
      <c r="C38" s="18" t="s">
        <v>28</v>
      </c>
      <c r="D38" s="18" t="s">
        <v>155</v>
      </c>
      <c r="E38" s="18" t="s">
        <v>47</v>
      </c>
      <c r="F38" s="17" t="str">
        <f aca="false">IFERROR(INDEX(Colleges!$B:$B,MATCH(B38,Colleges!$A:$A,0)),"Unknown ID")</f>
        <v>Kingsway Institute of Technology</v>
      </c>
      <c r="G38" s="17" t="n">
        <f aca="false">IF(OR(E38="Interested",E38="Shared with students",E38="Follow-up requested",E38="Queries resolved",E38="Registration help"),1,0)</f>
        <v>0</v>
      </c>
    </row>
    <row r="39" customFormat="false" ht="15" hidden="false" customHeight="false" outlineLevel="0" collapsed="false">
      <c r="A39" s="22" t="n">
        <v>46301</v>
      </c>
      <c r="B39" s="18" t="s">
        <v>74</v>
      </c>
      <c r="C39" s="18" t="s">
        <v>24</v>
      </c>
      <c r="D39" s="18" t="s">
        <v>155</v>
      </c>
      <c r="E39" s="18" t="s">
        <v>158</v>
      </c>
      <c r="F39" s="20" t="str">
        <f aca="false">IFERROR(INDEX(Colleges!$B:$B,MATCH(B39,Colleges!$A:$A,0)),"Unknown ID")</f>
        <v>Greenfield School of Management</v>
      </c>
      <c r="G39" s="20" t="n">
        <f aca="false">IF(OR(E39="Interested",E39="Shared with students",E39="Follow-up requested",E39="Queries resolved",E39="Registration help"),1,0)</f>
        <v>1</v>
      </c>
    </row>
    <row r="40" customFormat="false" ht="15" hidden="false" customHeight="false" outlineLevel="0" collapsed="false">
      <c r="A40" s="22" t="n">
        <v>46301</v>
      </c>
      <c r="B40" s="18" t="s">
        <v>114</v>
      </c>
      <c r="C40" s="18" t="s">
        <v>24</v>
      </c>
      <c r="D40" s="18" t="s">
        <v>155</v>
      </c>
      <c r="E40" s="18" t="s">
        <v>42</v>
      </c>
      <c r="F40" s="17" t="str">
        <f aca="false">IFERROR(INDEX(Colleges!$B:$B,MATCH(B40,Colleges!$A:$A,0)),"Unknown ID")</f>
        <v>Highland College of Commerce</v>
      </c>
      <c r="G40" s="17" t="n">
        <f aca="false">IF(OR(E40="Interested",E40="Shared with students",E40="Follow-up requested",E40="Queries resolved",E40="Registration help"),1,0)</f>
        <v>1</v>
      </c>
    </row>
    <row r="41" customFormat="false" ht="15" hidden="false" customHeight="false" outlineLevel="0" collapsed="false">
      <c r="A41" s="22" t="n">
        <v>46302</v>
      </c>
      <c r="B41" s="18" t="s">
        <v>138</v>
      </c>
      <c r="C41" s="18" t="s">
        <v>28</v>
      </c>
      <c r="D41" s="18" t="s">
        <v>159</v>
      </c>
      <c r="E41" s="18" t="s">
        <v>161</v>
      </c>
      <c r="F41" s="20" t="str">
        <f aca="false">IFERROR(INDEX(Colleges!$B:$B,MATCH(B41,Colleges!$A:$A,0)),"Unknown ID")</f>
        <v>Ivory College of Commerce</v>
      </c>
      <c r="G41" s="20" t="n">
        <f aca="false">IF(OR(E41="Interested",E41="Shared with students",E41="Follow-up requested",E41="Queries resolved",E41="Registration help"),1,0)</f>
        <v>0</v>
      </c>
    </row>
    <row r="42" customFormat="false" ht="15" hidden="false" customHeight="false" outlineLevel="0" collapsed="false">
      <c r="A42" s="22" t="n">
        <v>46302</v>
      </c>
      <c r="B42" s="18" t="s">
        <v>85</v>
      </c>
      <c r="C42" s="18" t="s">
        <v>24</v>
      </c>
      <c r="D42" s="18" t="s">
        <v>155</v>
      </c>
      <c r="E42" s="18" t="s">
        <v>156</v>
      </c>
      <c r="F42" s="17" t="str">
        <f aca="false">IFERROR(INDEX(Colleges!$B:$B,MATCH(B42,Colleges!$A:$A,0)),"Unknown ID")</f>
        <v>Maple College of Arts &amp; Science</v>
      </c>
      <c r="G42" s="17" t="n">
        <f aca="false">IF(OR(E42="Interested",E42="Shared with students",E42="Follow-up requested",E42="Queries resolved",E42="Registration help"),1,0)</f>
        <v>0</v>
      </c>
    </row>
    <row r="43" customFormat="false" ht="15" hidden="false" customHeight="false" outlineLevel="0" collapsed="false">
      <c r="A43" s="22" t="n">
        <v>46302</v>
      </c>
      <c r="B43" s="18" t="s">
        <v>106</v>
      </c>
      <c r="C43" s="18" t="s">
        <v>26</v>
      </c>
      <c r="D43" s="18" t="s">
        <v>159</v>
      </c>
      <c r="E43" s="18" t="s">
        <v>161</v>
      </c>
      <c r="F43" s="20" t="str">
        <f aca="false">IFERROR(INDEX(Colleges!$B:$B,MATCH(B43,Colleges!$A:$A,0)),"Unknown ID")</f>
        <v>Kingsway Institute of Technology</v>
      </c>
      <c r="G43" s="20" t="n">
        <f aca="false">IF(OR(E43="Interested",E43="Shared with students",E43="Follow-up requested",E43="Queries resolved",E43="Registration help"),1,0)</f>
        <v>0</v>
      </c>
    </row>
    <row r="44" customFormat="false" ht="15" hidden="false" customHeight="false" outlineLevel="0" collapsed="false">
      <c r="A44" s="22" t="n">
        <v>46302</v>
      </c>
      <c r="B44" s="18" t="s">
        <v>106</v>
      </c>
      <c r="C44" s="18" t="s">
        <v>24</v>
      </c>
      <c r="D44" s="18" t="s">
        <v>159</v>
      </c>
      <c r="E44" s="18" t="s">
        <v>163</v>
      </c>
      <c r="F44" s="17" t="str">
        <f aca="false">IFERROR(INDEX(Colleges!$B:$B,MATCH(B44,Colleges!$A:$A,0)),"Unknown ID")</f>
        <v>Kingsway Institute of Technology</v>
      </c>
      <c r="G44" s="17" t="n">
        <f aca="false">IF(OR(E44="Interested",E44="Shared with students",E44="Follow-up requested",E44="Queries resolved",E44="Registration help"),1,0)</f>
        <v>1</v>
      </c>
    </row>
    <row r="45" customFormat="false" ht="15" hidden="false" customHeight="false" outlineLevel="0" collapsed="false">
      <c r="A45" s="22" t="n">
        <v>46302</v>
      </c>
      <c r="B45" s="18" t="s">
        <v>111</v>
      </c>
      <c r="C45" s="18" t="s">
        <v>24</v>
      </c>
      <c r="D45" s="18" t="s">
        <v>155</v>
      </c>
      <c r="E45" s="18" t="s">
        <v>42</v>
      </c>
      <c r="F45" s="20" t="str">
        <f aca="false">IFERROR(INDEX(Colleges!$B:$B,MATCH(B45,Colleges!$A:$A,0)),"Unknown ID")</f>
        <v>Brightwater College of Arts &amp; Science</v>
      </c>
      <c r="G45" s="20" t="n">
        <f aca="false">IF(OR(E45="Interested",E45="Shared with students",E45="Follow-up requested",E45="Queries resolved",E45="Registration help"),1,0)</f>
        <v>1</v>
      </c>
    </row>
    <row r="46" customFormat="false" ht="15" hidden="false" customHeight="false" outlineLevel="0" collapsed="false">
      <c r="A46" s="22" t="n">
        <v>46302</v>
      </c>
      <c r="B46" s="18" t="s">
        <v>138</v>
      </c>
      <c r="C46" s="18" t="s">
        <v>26</v>
      </c>
      <c r="D46" s="18" t="s">
        <v>159</v>
      </c>
      <c r="E46" s="18" t="s">
        <v>163</v>
      </c>
      <c r="F46" s="17" t="str">
        <f aca="false">IFERROR(INDEX(Colleges!$B:$B,MATCH(B46,Colleges!$A:$A,0)),"Unknown ID")</f>
        <v>Ivory College of Commerce</v>
      </c>
      <c r="G46" s="17" t="n">
        <f aca="false">IF(OR(E46="Interested",E46="Shared with students",E46="Follow-up requested",E46="Queries resolved",E46="Registration help"),1,0)</f>
        <v>1</v>
      </c>
    </row>
    <row r="47" customFormat="false" ht="15" hidden="false" customHeight="false" outlineLevel="0" collapsed="false">
      <c r="A47" s="22" t="n">
        <v>46302</v>
      </c>
      <c r="B47" s="18" t="s">
        <v>111</v>
      </c>
      <c r="C47" s="18" t="s">
        <v>28</v>
      </c>
      <c r="D47" s="18" t="s">
        <v>159</v>
      </c>
      <c r="E47" s="18" t="s">
        <v>160</v>
      </c>
      <c r="F47" s="20" t="str">
        <f aca="false">IFERROR(INDEX(Colleges!$B:$B,MATCH(B47,Colleges!$A:$A,0)),"Unknown ID")</f>
        <v>Brightwater College of Arts &amp; Science</v>
      </c>
      <c r="G47" s="20" t="n">
        <f aca="false">IF(OR(E47="Interested",E47="Shared with students",E47="Follow-up requested",E47="Queries resolved",E47="Registration help"),1,0)</f>
        <v>1</v>
      </c>
    </row>
    <row r="48" customFormat="false" ht="15" hidden="false" customHeight="false" outlineLevel="0" collapsed="false">
      <c r="A48" s="22" t="n">
        <v>46302</v>
      </c>
      <c r="B48" s="18" t="s">
        <v>114</v>
      </c>
      <c r="C48" s="18" t="s">
        <v>28</v>
      </c>
      <c r="D48" s="18" t="s">
        <v>155</v>
      </c>
      <c r="E48" s="18" t="s">
        <v>42</v>
      </c>
      <c r="F48" s="17" t="str">
        <f aca="false">IFERROR(INDEX(Colleges!$B:$B,MATCH(B48,Colleges!$A:$A,0)),"Unknown ID")</f>
        <v>Highland College of Commerce</v>
      </c>
      <c r="G48" s="17" t="n">
        <f aca="false">IF(OR(E48="Interested",E48="Shared with students",E48="Follow-up requested",E48="Queries resolved",E48="Registration help"),1,0)</f>
        <v>1</v>
      </c>
    </row>
    <row r="49" customFormat="false" ht="15" hidden="false" customHeight="false" outlineLevel="0" collapsed="false">
      <c r="A49" s="22" t="n">
        <v>46302</v>
      </c>
      <c r="B49" s="18" t="s">
        <v>103</v>
      </c>
      <c r="C49" s="18" t="s">
        <v>24</v>
      </c>
      <c r="D49" s="18" t="s">
        <v>155</v>
      </c>
      <c r="E49" s="18" t="s">
        <v>156</v>
      </c>
      <c r="F49" s="20" t="str">
        <f aca="false">IFERROR(INDEX(Colleges!$B:$B,MATCH(B49,Colleges!$A:$A,0)),"Unknown ID")</f>
        <v>Summit College of Arts &amp; Science</v>
      </c>
      <c r="G49" s="20" t="n">
        <f aca="false">IF(OR(E49="Interested",E49="Shared with students",E49="Follow-up requested",E49="Queries resolved",E49="Registration help"),1,0)</f>
        <v>0</v>
      </c>
    </row>
    <row r="50" customFormat="false" ht="15" hidden="false" customHeight="false" outlineLevel="0" collapsed="false">
      <c r="A50" s="22" t="n">
        <v>46303</v>
      </c>
      <c r="B50" s="18" t="s">
        <v>103</v>
      </c>
      <c r="C50" s="18" t="s">
        <v>24</v>
      </c>
      <c r="D50" s="18" t="s">
        <v>155</v>
      </c>
      <c r="E50" s="18" t="s">
        <v>47</v>
      </c>
      <c r="F50" s="17" t="str">
        <f aca="false">IFERROR(INDEX(Colleges!$B:$B,MATCH(B50,Colleges!$A:$A,0)),"Unknown ID")</f>
        <v>Summit College of Arts &amp; Science</v>
      </c>
      <c r="G50" s="17" t="n">
        <f aca="false">IF(OR(E50="Interested",E50="Shared with students",E50="Follow-up requested",E50="Queries resolved",E50="Registration help"),1,0)</f>
        <v>0</v>
      </c>
    </row>
    <row r="51" customFormat="false" ht="15" hidden="false" customHeight="false" outlineLevel="0" collapsed="false">
      <c r="A51" s="22" t="n">
        <v>46303</v>
      </c>
      <c r="B51" s="18" t="s">
        <v>135</v>
      </c>
      <c r="C51" s="18" t="s">
        <v>24</v>
      </c>
      <c r="D51" s="18" t="s">
        <v>155</v>
      </c>
      <c r="E51" s="18" t="s">
        <v>158</v>
      </c>
      <c r="F51" s="20" t="str">
        <f aca="false">IFERROR(INDEX(Colleges!$B:$B,MATCH(B51,Colleges!$A:$A,0)),"Unknown ID")</f>
        <v>Hillside College of Commerce</v>
      </c>
      <c r="G51" s="20" t="n">
        <f aca="false">IF(OR(E51="Interested",E51="Shared with students",E51="Follow-up requested",E51="Queries resolved",E51="Registration help"),1,0)</f>
        <v>1</v>
      </c>
    </row>
    <row r="52" customFormat="false" ht="15" hidden="false" customHeight="false" outlineLevel="0" collapsed="false">
      <c r="A52" s="22" t="n">
        <v>46303</v>
      </c>
      <c r="B52" s="18" t="s">
        <v>74</v>
      </c>
      <c r="C52" s="18" t="s">
        <v>24</v>
      </c>
      <c r="D52" s="18" t="s">
        <v>155</v>
      </c>
      <c r="E52" s="18" t="s">
        <v>42</v>
      </c>
      <c r="F52" s="17" t="str">
        <f aca="false">IFERROR(INDEX(Colleges!$B:$B,MATCH(B52,Colleges!$A:$A,0)),"Unknown ID")</f>
        <v>Greenfield School of Management</v>
      </c>
      <c r="G52" s="17" t="n">
        <f aca="false">IF(OR(E52="Interested",E52="Shared with students",E52="Follow-up requested",E52="Queries resolved",E52="Registration help"),1,0)</f>
        <v>1</v>
      </c>
    </row>
    <row r="53" customFormat="false" ht="15" hidden="false" customHeight="false" outlineLevel="0" collapsed="false">
      <c r="A53" s="22" t="n">
        <v>46303</v>
      </c>
      <c r="B53" s="18" t="s">
        <v>132</v>
      </c>
      <c r="C53" s="18" t="s">
        <v>28</v>
      </c>
      <c r="D53" s="18" t="s">
        <v>155</v>
      </c>
      <c r="E53" s="18" t="s">
        <v>42</v>
      </c>
      <c r="F53" s="20" t="str">
        <f aca="false">IFERROR(INDEX(Colleges!$B:$B,MATCH(B53,Colleges!$A:$A,0)),"Unknown ID")</f>
        <v>Goldcrest College of Commerce</v>
      </c>
      <c r="G53" s="20" t="n">
        <f aca="false">IF(OR(E53="Interested",E53="Shared with students",E53="Follow-up requested",E53="Queries resolved",E53="Registration help"),1,0)</f>
        <v>1</v>
      </c>
    </row>
    <row r="54" customFormat="false" ht="15" hidden="false" customHeight="false" outlineLevel="0" collapsed="false">
      <c r="A54" s="22" t="n">
        <v>46303</v>
      </c>
      <c r="B54" s="18" t="s">
        <v>126</v>
      </c>
      <c r="C54" s="18" t="s">
        <v>28</v>
      </c>
      <c r="D54" s="18" t="s">
        <v>155</v>
      </c>
      <c r="E54" s="18" t="s">
        <v>42</v>
      </c>
      <c r="F54" s="17" t="str">
        <f aca="false">IFERROR(INDEX(Colleges!$B:$B,MATCH(B54,Colleges!$A:$A,0)),"Unknown ID")</f>
        <v>Clearview College of Commerce</v>
      </c>
      <c r="G54" s="17" t="n">
        <f aca="false">IF(OR(E54="Interested",E54="Shared with students",E54="Follow-up requested",E54="Queries resolved",E54="Registration help"),1,0)</f>
        <v>1</v>
      </c>
    </row>
    <row r="55" customFormat="false" ht="15" hidden="false" customHeight="false" outlineLevel="0" collapsed="false">
      <c r="A55" s="22" t="n">
        <v>46303</v>
      </c>
      <c r="B55" s="18" t="s">
        <v>111</v>
      </c>
      <c r="C55" s="18" t="s">
        <v>26</v>
      </c>
      <c r="D55" s="18" t="s">
        <v>155</v>
      </c>
      <c r="E55" s="18" t="s">
        <v>157</v>
      </c>
      <c r="F55" s="20" t="str">
        <f aca="false">IFERROR(INDEX(Colleges!$B:$B,MATCH(B55,Colleges!$A:$A,0)),"Unknown ID")</f>
        <v>Brightwater College of Arts &amp; Science</v>
      </c>
      <c r="G55" s="20" t="n">
        <f aca="false">IF(OR(E55="Interested",E55="Shared with students",E55="Follow-up requested",E55="Queries resolved",E55="Registration help"),1,0)</f>
        <v>0</v>
      </c>
    </row>
    <row r="56" customFormat="false" ht="15" hidden="false" customHeight="false" outlineLevel="0" collapsed="false">
      <c r="A56" s="22" t="n">
        <v>46303</v>
      </c>
      <c r="B56" s="18" t="s">
        <v>69</v>
      </c>
      <c r="C56" s="18" t="s">
        <v>28</v>
      </c>
      <c r="D56" s="18" t="s">
        <v>155</v>
      </c>
      <c r="E56" s="18" t="s">
        <v>42</v>
      </c>
      <c r="F56" s="17" t="str">
        <f aca="false">IFERROR(INDEX(Colleges!$B:$B,MATCH(B56,Colleges!$A:$A,0)),"Unknown ID")</f>
        <v>Sunrise Institute of Technology</v>
      </c>
      <c r="G56" s="17" t="n">
        <f aca="false">IF(OR(E56="Interested",E56="Shared with students",E56="Follow-up requested",E56="Queries resolved",E56="Registration help"),1,0)</f>
        <v>1</v>
      </c>
    </row>
    <row r="57" customFormat="false" ht="15" hidden="false" customHeight="false" outlineLevel="0" collapsed="false">
      <c r="A57" s="22" t="n">
        <v>46304</v>
      </c>
      <c r="B57" s="18" t="s">
        <v>129</v>
      </c>
      <c r="C57" s="18" t="s">
        <v>24</v>
      </c>
      <c r="D57" s="18" t="s">
        <v>155</v>
      </c>
      <c r="E57" s="18" t="s">
        <v>158</v>
      </c>
      <c r="F57" s="20" t="str">
        <f aca="false">IFERROR(INDEX(Colleges!$B:$B,MATCH(B57,Colleges!$A:$A,0)),"Unknown ID")</f>
        <v>Fairmont School of Management</v>
      </c>
      <c r="G57" s="20" t="n">
        <f aca="false">IF(OR(E57="Interested",E57="Shared with students",E57="Follow-up requested",E57="Queries resolved",E57="Registration help"),1,0)</f>
        <v>1</v>
      </c>
    </row>
    <row r="58" customFormat="false" ht="15" hidden="false" customHeight="false" outlineLevel="0" collapsed="false">
      <c r="A58" s="22" t="n">
        <v>46304</v>
      </c>
      <c r="B58" s="18" t="s">
        <v>111</v>
      </c>
      <c r="C58" s="18" t="s">
        <v>28</v>
      </c>
      <c r="D58" s="18" t="s">
        <v>155</v>
      </c>
      <c r="E58" s="18" t="s">
        <v>162</v>
      </c>
      <c r="F58" s="17" t="str">
        <f aca="false">IFERROR(INDEX(Colleges!$B:$B,MATCH(B58,Colleges!$A:$A,0)),"Unknown ID")</f>
        <v>Brightwater College of Arts &amp; Science</v>
      </c>
      <c r="G58" s="17" t="n">
        <f aca="false">IF(OR(E58="Interested",E58="Shared with students",E58="Follow-up requested",E58="Queries resolved",E58="Registration help"),1,0)</f>
        <v>1</v>
      </c>
    </row>
    <row r="59" customFormat="false" ht="15" hidden="false" customHeight="false" outlineLevel="0" collapsed="false">
      <c r="A59" s="22" t="n">
        <v>46304</v>
      </c>
      <c r="B59" s="18" t="s">
        <v>85</v>
      </c>
      <c r="C59" s="18" t="s">
        <v>28</v>
      </c>
      <c r="D59" s="18" t="s">
        <v>155</v>
      </c>
      <c r="E59" s="18" t="s">
        <v>157</v>
      </c>
      <c r="F59" s="20" t="str">
        <f aca="false">IFERROR(INDEX(Colleges!$B:$B,MATCH(B59,Colleges!$A:$A,0)),"Unknown ID")</f>
        <v>Maple College of Arts &amp; Science</v>
      </c>
      <c r="G59" s="20" t="n">
        <f aca="false">IF(OR(E59="Interested",E59="Shared with students",E59="Follow-up requested",E59="Queries resolved",E59="Registration help"),1,0)</f>
        <v>0</v>
      </c>
    </row>
    <row r="60" customFormat="false" ht="15" hidden="false" customHeight="false" outlineLevel="0" collapsed="false">
      <c r="A60" s="22" t="n">
        <v>46304</v>
      </c>
      <c r="B60" s="18" t="s">
        <v>65</v>
      </c>
      <c r="C60" s="18" t="s">
        <v>28</v>
      </c>
      <c r="D60" s="18" t="s">
        <v>155</v>
      </c>
      <c r="E60" s="18" t="s">
        <v>158</v>
      </c>
      <c r="F60" s="17" t="str">
        <f aca="false">IFERROR(INDEX(Colleges!$B:$B,MATCH(B60,Colleges!$A:$A,0)),"Unknown ID")</f>
        <v>Riverside Institute of Technology</v>
      </c>
      <c r="G60" s="17" t="n">
        <f aca="false">IF(OR(E60="Interested",E60="Shared with students",E60="Follow-up requested",E60="Queries resolved",E60="Registration help"),1,0)</f>
        <v>1</v>
      </c>
    </row>
    <row r="61" customFormat="false" ht="15" hidden="false" customHeight="false" outlineLevel="0" collapsed="false">
      <c r="A61" s="22" t="n">
        <v>46304</v>
      </c>
      <c r="B61" s="18" t="s">
        <v>103</v>
      </c>
      <c r="C61" s="18" t="s">
        <v>28</v>
      </c>
      <c r="D61" s="18" t="s">
        <v>155</v>
      </c>
      <c r="E61" s="18" t="s">
        <v>162</v>
      </c>
      <c r="F61" s="20" t="str">
        <f aca="false">IFERROR(INDEX(Colleges!$B:$B,MATCH(B61,Colleges!$A:$A,0)),"Unknown ID")</f>
        <v>Summit College of Arts &amp; Science</v>
      </c>
      <c r="G61" s="20" t="n">
        <f aca="false">IF(OR(E61="Interested",E61="Shared with students",E61="Follow-up requested",E61="Queries resolved",E61="Registration help"),1,0)</f>
        <v>1</v>
      </c>
    </row>
    <row r="62" customFormat="false" ht="15" hidden="false" customHeight="false" outlineLevel="0" collapsed="false">
      <c r="A62" s="22" t="n">
        <v>46304</v>
      </c>
      <c r="B62" s="18" t="s">
        <v>100</v>
      </c>
      <c r="C62" s="18" t="s">
        <v>24</v>
      </c>
      <c r="D62" s="18" t="s">
        <v>159</v>
      </c>
      <c r="E62" s="18" t="s">
        <v>163</v>
      </c>
      <c r="F62" s="17" t="str">
        <f aca="false">IFERROR(INDEX(Colleges!$B:$B,MATCH(B62,Colleges!$A:$A,0)),"Unknown ID")</f>
        <v>Bluebell School of Management</v>
      </c>
      <c r="G62" s="17" t="n">
        <f aca="false">IF(OR(E62="Interested",E62="Shared with students",E62="Follow-up requested",E62="Queries resolved",E62="Registration help"),1,0)</f>
        <v>1</v>
      </c>
    </row>
    <row r="63" customFormat="false" ht="15" hidden="false" customHeight="false" outlineLevel="0" collapsed="false">
      <c r="A63" s="22" t="n">
        <v>46304</v>
      </c>
      <c r="B63" s="18" t="s">
        <v>108</v>
      </c>
      <c r="C63" s="18" t="s">
        <v>28</v>
      </c>
      <c r="D63" s="18" t="s">
        <v>155</v>
      </c>
      <c r="E63" s="18" t="s">
        <v>156</v>
      </c>
      <c r="F63" s="20" t="str">
        <f aca="false">IFERROR(INDEX(Colleges!$B:$B,MATCH(B63,Colleges!$A:$A,0)),"Unknown ID")</f>
        <v>Oakridge College of Commerce</v>
      </c>
      <c r="G63" s="20" t="n">
        <f aca="false">IF(OR(E63="Interested",E63="Shared with students",E63="Follow-up requested",E63="Queries resolved",E63="Registration help"),1,0)</f>
        <v>0</v>
      </c>
    </row>
    <row r="64" customFormat="false" ht="15" hidden="false" customHeight="false" outlineLevel="0" collapsed="false">
      <c r="A64" s="22" t="n">
        <v>46304</v>
      </c>
      <c r="B64" s="18" t="s">
        <v>129</v>
      </c>
      <c r="C64" s="18" t="s">
        <v>24</v>
      </c>
      <c r="D64" s="18" t="s">
        <v>159</v>
      </c>
      <c r="E64" s="18" t="s">
        <v>160</v>
      </c>
      <c r="F64" s="17" t="str">
        <f aca="false">IFERROR(INDEX(Colleges!$B:$B,MATCH(B64,Colleges!$A:$A,0)),"Unknown ID")</f>
        <v>Fairmont School of Management</v>
      </c>
      <c r="G64" s="17" t="n">
        <f aca="false">IF(OR(E64="Interested",E64="Shared with students",E64="Follow-up requested",E64="Queries resolved",E64="Registration help"),1,0)</f>
        <v>1</v>
      </c>
    </row>
    <row r="65" customFormat="false" ht="15" hidden="false" customHeight="false" outlineLevel="0" collapsed="false">
      <c r="A65" s="22" t="n">
        <v>46304</v>
      </c>
      <c r="B65" s="18" t="s">
        <v>61</v>
      </c>
      <c r="C65" s="18" t="s">
        <v>26</v>
      </c>
      <c r="D65" s="18" t="s">
        <v>159</v>
      </c>
      <c r="E65" s="18" t="s">
        <v>161</v>
      </c>
      <c r="F65" s="20" t="str">
        <f aca="false">IFERROR(INDEX(Colleges!$B:$B,MATCH(B65,Colleges!$A:$A,0)),"Unknown ID")</f>
        <v>Northgate College of Arts &amp; Science</v>
      </c>
      <c r="G65" s="20" t="n">
        <f aca="false">IF(OR(E65="Interested",E65="Shared with students",E65="Follow-up requested",E65="Queries resolved",E65="Registration help"),1,0)</f>
        <v>0</v>
      </c>
    </row>
    <row r="66" customFormat="false" ht="15" hidden="false" customHeight="false" outlineLevel="0" collapsed="false">
      <c r="A66" s="22" t="n">
        <v>46305</v>
      </c>
      <c r="B66" s="18" t="s">
        <v>85</v>
      </c>
      <c r="C66" s="18" t="s">
        <v>24</v>
      </c>
      <c r="D66" s="18" t="s">
        <v>159</v>
      </c>
      <c r="E66" s="18" t="s">
        <v>160</v>
      </c>
      <c r="F66" s="17" t="str">
        <f aca="false">IFERROR(INDEX(Colleges!$B:$B,MATCH(B66,Colleges!$A:$A,0)),"Unknown ID")</f>
        <v>Maple College of Arts &amp; Science</v>
      </c>
      <c r="G66" s="17" t="n">
        <f aca="false">IF(OR(E66="Interested",E66="Shared with students",E66="Follow-up requested",E66="Queries resolved",E66="Registration help"),1,0)</f>
        <v>1</v>
      </c>
    </row>
    <row r="67" customFormat="false" ht="15" hidden="false" customHeight="false" outlineLevel="0" collapsed="false">
      <c r="A67" s="22" t="n">
        <v>46305</v>
      </c>
      <c r="B67" s="18" t="s">
        <v>61</v>
      </c>
      <c r="C67" s="18" t="s">
        <v>24</v>
      </c>
      <c r="D67" s="18" t="s">
        <v>155</v>
      </c>
      <c r="E67" s="18" t="s">
        <v>162</v>
      </c>
      <c r="F67" s="20" t="str">
        <f aca="false">IFERROR(INDEX(Colleges!$B:$B,MATCH(B67,Colleges!$A:$A,0)),"Unknown ID")</f>
        <v>Northgate College of Arts &amp; Science</v>
      </c>
      <c r="G67" s="20" t="n">
        <f aca="false">IF(OR(E67="Interested",E67="Shared with students",E67="Follow-up requested",E67="Queries resolved",E67="Registration help"),1,0)</f>
        <v>1</v>
      </c>
    </row>
    <row r="68" customFormat="false" ht="15" hidden="false" customHeight="false" outlineLevel="0" collapsed="false">
      <c r="A68" s="22" t="n">
        <v>46305</v>
      </c>
      <c r="B68" s="18" t="s">
        <v>88</v>
      </c>
      <c r="C68" s="18" t="s">
        <v>26</v>
      </c>
      <c r="D68" s="18" t="s">
        <v>155</v>
      </c>
      <c r="E68" s="18" t="s">
        <v>158</v>
      </c>
      <c r="F68" s="17" t="str">
        <f aca="false">IFERROR(INDEX(Colleges!$B:$B,MATCH(B68,Colleges!$A:$A,0)),"Unknown ID")</f>
        <v>Horizon School of Management</v>
      </c>
      <c r="G68" s="17" t="n">
        <f aca="false">IF(OR(E68="Interested",E68="Shared with students",E68="Follow-up requested",E68="Queries resolved",E68="Registration help"),1,0)</f>
        <v>1</v>
      </c>
    </row>
    <row r="69" customFormat="false" ht="15" hidden="false" customHeight="false" outlineLevel="0" collapsed="false">
      <c r="A69" s="22" t="n">
        <v>46305</v>
      </c>
      <c r="B69" s="18" t="s">
        <v>72</v>
      </c>
      <c r="C69" s="18" t="s">
        <v>28</v>
      </c>
      <c r="D69" s="18" t="s">
        <v>155</v>
      </c>
      <c r="E69" s="18" t="s">
        <v>156</v>
      </c>
      <c r="F69" s="20" t="str">
        <f aca="false">IFERROR(INDEX(Colleges!$B:$B,MATCH(B69,Colleges!$A:$A,0)),"Unknown ID")</f>
        <v>Lakeview Institute of Technology</v>
      </c>
      <c r="G69" s="20" t="n">
        <f aca="false">IF(OR(E69="Interested",E69="Shared with students",E69="Follow-up requested",E69="Queries resolved",E69="Registration help"),1,0)</f>
        <v>0</v>
      </c>
    </row>
    <row r="70" customFormat="false" ht="15" hidden="false" customHeight="false" outlineLevel="0" collapsed="false">
      <c r="A70" s="22" t="n">
        <v>46305</v>
      </c>
      <c r="B70" s="18" t="s">
        <v>91</v>
      </c>
      <c r="C70" s="18" t="s">
        <v>26</v>
      </c>
      <c r="D70" s="18" t="s">
        <v>155</v>
      </c>
      <c r="E70" s="18" t="s">
        <v>156</v>
      </c>
      <c r="F70" s="17" t="str">
        <f aca="false">IFERROR(INDEX(Colleges!$B:$B,MATCH(B70,Colleges!$A:$A,0)),"Unknown ID")</f>
        <v>Pinecrest Institute of Technology</v>
      </c>
      <c r="G70" s="17" t="n">
        <f aca="false">IF(OR(E70="Interested",E70="Shared with students",E70="Follow-up requested",E70="Queries resolved",E70="Registration help"),1,0)</f>
        <v>0</v>
      </c>
    </row>
    <row r="71" customFormat="false" ht="15" hidden="false" customHeight="false" outlineLevel="0" collapsed="false">
      <c r="A71" s="22" t="n">
        <v>46305</v>
      </c>
      <c r="B71" s="18" t="s">
        <v>106</v>
      </c>
      <c r="C71" s="18" t="s">
        <v>26</v>
      </c>
      <c r="D71" s="18" t="s">
        <v>155</v>
      </c>
      <c r="E71" s="18" t="s">
        <v>157</v>
      </c>
      <c r="F71" s="20" t="str">
        <f aca="false">IFERROR(INDEX(Colleges!$B:$B,MATCH(B71,Colleges!$A:$A,0)),"Unknown ID")</f>
        <v>Kingsway Institute of Technology</v>
      </c>
      <c r="G71" s="20" t="n">
        <f aca="false">IF(OR(E71="Interested",E71="Shared with students",E71="Follow-up requested",E71="Queries resolved",E71="Registration help"),1,0)</f>
        <v>0</v>
      </c>
    </row>
    <row r="72" customFormat="false" ht="15" hidden="false" customHeight="false" outlineLevel="0" collapsed="false">
      <c r="A72" s="22" t="n">
        <v>46305</v>
      </c>
      <c r="B72" s="18" t="s">
        <v>61</v>
      </c>
      <c r="C72" s="18" t="s">
        <v>28</v>
      </c>
      <c r="D72" s="18" t="s">
        <v>155</v>
      </c>
      <c r="E72" s="18" t="s">
        <v>156</v>
      </c>
      <c r="F72" s="17" t="str">
        <f aca="false">IFERROR(INDEX(Colleges!$B:$B,MATCH(B72,Colleges!$A:$A,0)),"Unknown ID")</f>
        <v>Northgate College of Arts &amp; Science</v>
      </c>
      <c r="G72" s="17" t="n">
        <f aca="false">IF(OR(E72="Interested",E72="Shared with students",E72="Follow-up requested",E72="Queries resolved",E72="Registration help"),1,0)</f>
        <v>0</v>
      </c>
    </row>
    <row r="73" customFormat="false" ht="15" hidden="false" customHeight="false" outlineLevel="0" collapsed="false">
      <c r="A73" s="22" t="n">
        <v>46305</v>
      </c>
      <c r="B73" s="18" t="s">
        <v>111</v>
      </c>
      <c r="C73" s="18" t="s">
        <v>26</v>
      </c>
      <c r="D73" s="18" t="s">
        <v>155</v>
      </c>
      <c r="E73" s="18" t="s">
        <v>42</v>
      </c>
      <c r="F73" s="20" t="str">
        <f aca="false">IFERROR(INDEX(Colleges!$B:$B,MATCH(B73,Colleges!$A:$A,0)),"Unknown ID")</f>
        <v>Brightwater College of Arts &amp; Science</v>
      </c>
      <c r="G73" s="20" t="n">
        <f aca="false">IF(OR(E73="Interested",E73="Shared with students",E73="Follow-up requested",E73="Queries resolved",E73="Registration help"),1,0)</f>
        <v>1</v>
      </c>
    </row>
    <row r="74" customFormat="false" ht="15" hidden="false" customHeight="false" outlineLevel="0" collapsed="false">
      <c r="A74" s="22" t="n">
        <v>46305</v>
      </c>
      <c r="B74" s="18" t="s">
        <v>106</v>
      </c>
      <c r="C74" s="18" t="s">
        <v>24</v>
      </c>
      <c r="D74" s="18" t="s">
        <v>159</v>
      </c>
      <c r="E74" s="18" t="s">
        <v>160</v>
      </c>
      <c r="F74" s="17" t="str">
        <f aca="false">IFERROR(INDEX(Colleges!$B:$B,MATCH(B74,Colleges!$A:$A,0)),"Unknown ID")</f>
        <v>Kingsway Institute of Technology</v>
      </c>
      <c r="G74" s="17" t="n">
        <f aca="false">IF(OR(E74="Interested",E74="Shared with students",E74="Follow-up requested",E74="Queries resolved",E74="Registration help"),1,0)</f>
        <v>1</v>
      </c>
    </row>
    <row r="75" customFormat="false" ht="15" hidden="false" customHeight="false" outlineLevel="0" collapsed="false">
      <c r="A75" s="22" t="n">
        <v>46305</v>
      </c>
      <c r="B75" s="18" t="s">
        <v>126</v>
      </c>
      <c r="C75" s="18" t="s">
        <v>26</v>
      </c>
      <c r="D75" s="18" t="s">
        <v>159</v>
      </c>
      <c r="E75" s="18" t="s">
        <v>160</v>
      </c>
      <c r="F75" s="20" t="str">
        <f aca="false">IFERROR(INDEX(Colleges!$B:$B,MATCH(B75,Colleges!$A:$A,0)),"Unknown ID")</f>
        <v>Clearview College of Commerce</v>
      </c>
      <c r="G75" s="20" t="n">
        <f aca="false">IF(OR(E75="Interested",E75="Shared with students",E75="Follow-up requested",E75="Queries resolved",E75="Registration help"),1,0)</f>
        <v>1</v>
      </c>
    </row>
    <row r="76" customFormat="false" ht="15" hidden="false" customHeight="false" outlineLevel="0" collapsed="false">
      <c r="A76" s="22" t="n">
        <v>46307</v>
      </c>
      <c r="B76" s="18" t="s">
        <v>91</v>
      </c>
      <c r="C76" s="18" t="s">
        <v>26</v>
      </c>
      <c r="D76" s="18" t="s">
        <v>159</v>
      </c>
      <c r="E76" s="18" t="s">
        <v>160</v>
      </c>
      <c r="F76" s="17" t="str">
        <f aca="false">IFERROR(INDEX(Colleges!$B:$B,MATCH(B76,Colleges!$A:$A,0)),"Unknown ID")</f>
        <v>Pinecrest Institute of Technology</v>
      </c>
      <c r="G76" s="17" t="n">
        <f aca="false">IF(OR(E76="Interested",E76="Shared with students",E76="Follow-up requested",E76="Queries resolved",E76="Registration help"),1,0)</f>
        <v>1</v>
      </c>
    </row>
    <row r="77" customFormat="false" ht="15" hidden="false" customHeight="false" outlineLevel="0" collapsed="false">
      <c r="A77" s="22" t="n">
        <v>46307</v>
      </c>
      <c r="B77" s="18" t="s">
        <v>82</v>
      </c>
      <c r="C77" s="18" t="s">
        <v>28</v>
      </c>
      <c r="D77" s="18" t="s">
        <v>155</v>
      </c>
      <c r="E77" s="18" t="s">
        <v>158</v>
      </c>
      <c r="F77" s="20" t="str">
        <f aca="false">IFERROR(INDEX(Colleges!$B:$B,MATCH(B77,Colleges!$A:$A,0)),"Unknown ID")</f>
        <v>Silver Oak School of Management</v>
      </c>
      <c r="G77" s="20" t="n">
        <f aca="false">IF(OR(E77="Interested",E77="Shared with students",E77="Follow-up requested",E77="Queries resolved",E77="Registration help"),1,0)</f>
        <v>1</v>
      </c>
    </row>
    <row r="78" customFormat="false" ht="15" hidden="false" customHeight="false" outlineLevel="0" collapsed="false">
      <c r="A78" s="22" t="n">
        <v>46307</v>
      </c>
      <c r="B78" s="18" t="s">
        <v>100</v>
      </c>
      <c r="C78" s="18" t="s">
        <v>28</v>
      </c>
      <c r="D78" s="18" t="s">
        <v>159</v>
      </c>
      <c r="E78" s="18" t="s">
        <v>161</v>
      </c>
      <c r="F78" s="17" t="str">
        <f aca="false">IFERROR(INDEX(Colleges!$B:$B,MATCH(B78,Colleges!$A:$A,0)),"Unknown ID")</f>
        <v>Bluebell School of Management</v>
      </c>
      <c r="G78" s="17" t="n">
        <f aca="false">IF(OR(E78="Interested",E78="Shared with students",E78="Follow-up requested",E78="Queries resolved",E78="Registration help"),1,0)</f>
        <v>0</v>
      </c>
    </row>
    <row r="79" customFormat="false" ht="15" hidden="false" customHeight="false" outlineLevel="0" collapsed="false">
      <c r="A79" s="22" t="n">
        <v>46307</v>
      </c>
      <c r="B79" s="18" t="s">
        <v>61</v>
      </c>
      <c r="C79" s="18" t="s">
        <v>24</v>
      </c>
      <c r="D79" s="18" t="s">
        <v>155</v>
      </c>
      <c r="E79" s="18" t="s">
        <v>157</v>
      </c>
      <c r="F79" s="20" t="str">
        <f aca="false">IFERROR(INDEX(Colleges!$B:$B,MATCH(B79,Colleges!$A:$A,0)),"Unknown ID")</f>
        <v>Northgate College of Arts &amp; Science</v>
      </c>
      <c r="G79" s="20" t="n">
        <f aca="false">IF(OR(E79="Interested",E79="Shared with students",E79="Follow-up requested",E79="Queries resolved",E79="Registration help"),1,0)</f>
        <v>0</v>
      </c>
    </row>
    <row r="80" customFormat="false" ht="15" hidden="false" customHeight="false" outlineLevel="0" collapsed="false">
      <c r="A80" s="22" t="n">
        <v>46307</v>
      </c>
      <c r="B80" s="18" t="s">
        <v>78</v>
      </c>
      <c r="C80" s="18" t="s">
        <v>24</v>
      </c>
      <c r="D80" s="18" t="s">
        <v>155</v>
      </c>
      <c r="E80" s="18" t="s">
        <v>157</v>
      </c>
      <c r="F80" s="17" t="str">
        <f aca="false">IFERROR(INDEX(Colleges!$B:$B,MATCH(B80,Colleges!$A:$A,0)),"Unknown ID")</f>
        <v>Crescent College of Commerce</v>
      </c>
      <c r="G80" s="17" t="n">
        <f aca="false">IF(OR(E80="Interested",E80="Shared with students",E80="Follow-up requested",E80="Queries resolved",E80="Registration help"),1,0)</f>
        <v>0</v>
      </c>
    </row>
    <row r="81" customFormat="false" ht="15" hidden="false" customHeight="false" outlineLevel="0" collapsed="false">
      <c r="A81" s="22" t="n">
        <v>46307</v>
      </c>
      <c r="B81" s="18" t="s">
        <v>111</v>
      </c>
      <c r="C81" s="18" t="s">
        <v>26</v>
      </c>
      <c r="D81" s="18" t="s">
        <v>155</v>
      </c>
      <c r="E81" s="18" t="s">
        <v>157</v>
      </c>
      <c r="F81" s="20" t="str">
        <f aca="false">IFERROR(INDEX(Colleges!$B:$B,MATCH(B81,Colleges!$A:$A,0)),"Unknown ID")</f>
        <v>Brightwater College of Arts &amp; Science</v>
      </c>
      <c r="G81" s="20" t="n">
        <f aca="false">IF(OR(E81="Interested",E81="Shared with students",E81="Follow-up requested",E81="Queries resolved",E81="Registration help"),1,0)</f>
        <v>0</v>
      </c>
    </row>
    <row r="82" customFormat="false" ht="15" hidden="false" customHeight="false" outlineLevel="0" collapsed="false">
      <c r="A82" s="22" t="n">
        <v>46307</v>
      </c>
      <c r="B82" s="18" t="s">
        <v>91</v>
      </c>
      <c r="C82" s="18" t="s">
        <v>24</v>
      </c>
      <c r="D82" s="18" t="s">
        <v>155</v>
      </c>
      <c r="E82" s="18" t="s">
        <v>157</v>
      </c>
      <c r="F82" s="17" t="str">
        <f aca="false">IFERROR(INDEX(Colleges!$B:$B,MATCH(B82,Colleges!$A:$A,0)),"Unknown ID")</f>
        <v>Pinecrest Institute of Technology</v>
      </c>
      <c r="G82" s="17" t="n">
        <f aca="false">IF(OR(E82="Interested",E82="Shared with students",E82="Follow-up requested",E82="Queries resolved",E82="Registration help"),1,0)</f>
        <v>0</v>
      </c>
    </row>
    <row r="83" customFormat="false" ht="15" hidden="false" customHeight="false" outlineLevel="0" collapsed="false">
      <c r="A83" s="22" t="n">
        <v>46307</v>
      </c>
      <c r="B83" s="18" t="s">
        <v>61</v>
      </c>
      <c r="C83" s="18" t="s">
        <v>24</v>
      </c>
      <c r="D83" s="18" t="s">
        <v>159</v>
      </c>
      <c r="E83" s="18" t="s">
        <v>163</v>
      </c>
      <c r="F83" s="20" t="str">
        <f aca="false">IFERROR(INDEX(Colleges!$B:$B,MATCH(B83,Colleges!$A:$A,0)),"Unknown ID")</f>
        <v>Northgate College of Arts &amp; Science</v>
      </c>
      <c r="G83" s="20" t="n">
        <f aca="false">IF(OR(E83="Interested",E83="Shared with students",E83="Follow-up requested",E83="Queries resolved",E83="Registration help"),1,0)</f>
        <v>1</v>
      </c>
    </row>
    <row r="84" customFormat="false" ht="15" hidden="false" customHeight="false" outlineLevel="0" collapsed="false">
      <c r="A84" s="22" t="n">
        <v>46307</v>
      </c>
      <c r="B84" s="18" t="s">
        <v>94</v>
      </c>
      <c r="C84" s="18" t="s">
        <v>24</v>
      </c>
      <c r="D84" s="18" t="s">
        <v>159</v>
      </c>
      <c r="E84" s="18" t="s">
        <v>160</v>
      </c>
      <c r="F84" s="17" t="str">
        <f aca="false">IFERROR(INDEX(Colleges!$B:$B,MATCH(B84,Colleges!$A:$A,0)),"Unknown ID")</f>
        <v>Westbrook College of Commerce</v>
      </c>
      <c r="G84" s="17" t="n">
        <f aca="false">IF(OR(E84="Interested",E84="Shared with students",E84="Follow-up requested",E84="Queries resolved",E84="Registration help"),1,0)</f>
        <v>1</v>
      </c>
    </row>
    <row r="85" customFormat="false" ht="15" hidden="false" customHeight="false" outlineLevel="0" collapsed="false">
      <c r="A85" s="22" t="n">
        <v>46307</v>
      </c>
      <c r="B85" s="18" t="s">
        <v>82</v>
      </c>
      <c r="C85" s="18" t="s">
        <v>24</v>
      </c>
      <c r="D85" s="18" t="s">
        <v>155</v>
      </c>
      <c r="E85" s="18" t="s">
        <v>157</v>
      </c>
      <c r="F85" s="20" t="str">
        <f aca="false">IFERROR(INDEX(Colleges!$B:$B,MATCH(B85,Colleges!$A:$A,0)),"Unknown ID")</f>
        <v>Silver Oak School of Management</v>
      </c>
      <c r="G85" s="20" t="n">
        <f aca="false">IF(OR(E85="Interested",E85="Shared with students",E85="Follow-up requested",E85="Queries resolved",E85="Registration help"),1,0)</f>
        <v>0</v>
      </c>
    </row>
    <row r="86" customFormat="false" ht="15" hidden="false" customHeight="false" outlineLevel="0" collapsed="false">
      <c r="A86" s="22" t="n">
        <v>46308</v>
      </c>
      <c r="B86" s="18" t="s">
        <v>88</v>
      </c>
      <c r="C86" s="18" t="s">
        <v>26</v>
      </c>
      <c r="D86" s="18" t="s">
        <v>155</v>
      </c>
      <c r="E86" s="18" t="s">
        <v>42</v>
      </c>
      <c r="F86" s="17" t="str">
        <f aca="false">IFERROR(INDEX(Colleges!$B:$B,MATCH(B86,Colleges!$A:$A,0)),"Unknown ID")</f>
        <v>Horizon School of Management</v>
      </c>
      <c r="G86" s="17" t="n">
        <f aca="false">IF(OR(E86="Interested",E86="Shared with students",E86="Follow-up requested",E86="Queries resolved",E86="Registration help"),1,0)</f>
        <v>1</v>
      </c>
    </row>
    <row r="87" customFormat="false" ht="15" hidden="false" customHeight="false" outlineLevel="0" collapsed="false">
      <c r="A87" s="22" t="n">
        <v>46308</v>
      </c>
      <c r="B87" s="18" t="s">
        <v>61</v>
      </c>
      <c r="C87" s="18" t="s">
        <v>24</v>
      </c>
      <c r="D87" s="18" t="s">
        <v>159</v>
      </c>
      <c r="E87" s="18" t="s">
        <v>161</v>
      </c>
      <c r="F87" s="20" t="str">
        <f aca="false">IFERROR(INDEX(Colleges!$B:$B,MATCH(B87,Colleges!$A:$A,0)),"Unknown ID")</f>
        <v>Northgate College of Arts &amp; Science</v>
      </c>
      <c r="G87" s="20" t="n">
        <f aca="false">IF(OR(E87="Interested",E87="Shared with students",E87="Follow-up requested",E87="Queries resolved",E87="Registration help"),1,0)</f>
        <v>0</v>
      </c>
    </row>
    <row r="88" customFormat="false" ht="15" hidden="false" customHeight="false" outlineLevel="0" collapsed="false">
      <c r="A88" s="22" t="n">
        <v>46308</v>
      </c>
      <c r="B88" s="18" t="s">
        <v>100</v>
      </c>
      <c r="C88" s="18" t="s">
        <v>26</v>
      </c>
      <c r="D88" s="18" t="s">
        <v>155</v>
      </c>
      <c r="E88" s="18" t="s">
        <v>157</v>
      </c>
      <c r="F88" s="17" t="str">
        <f aca="false">IFERROR(INDEX(Colleges!$B:$B,MATCH(B88,Colleges!$A:$A,0)),"Unknown ID")</f>
        <v>Bluebell School of Management</v>
      </c>
      <c r="G88" s="17" t="n">
        <f aca="false">IF(OR(E88="Interested",E88="Shared with students",E88="Follow-up requested",E88="Queries resolved",E88="Registration help"),1,0)</f>
        <v>0</v>
      </c>
    </row>
    <row r="89" customFormat="false" ht="15" hidden="false" customHeight="false" outlineLevel="0" collapsed="false">
      <c r="A89" s="22" t="n">
        <v>46308</v>
      </c>
      <c r="B89" s="18" t="s">
        <v>123</v>
      </c>
      <c r="C89" s="18" t="s">
        <v>24</v>
      </c>
      <c r="D89" s="18" t="s">
        <v>155</v>
      </c>
      <c r="E89" s="18" t="s">
        <v>42</v>
      </c>
      <c r="F89" s="20" t="str">
        <f aca="false">IFERROR(INDEX(Colleges!$B:$B,MATCH(B89,Colleges!$A:$A,0)),"Unknown ID")</f>
        <v>Redwood Institute of Technology</v>
      </c>
      <c r="G89" s="20" t="n">
        <f aca="false">IF(OR(E89="Interested",E89="Shared with students",E89="Follow-up requested",E89="Queries resolved",E89="Registration help"),1,0)</f>
        <v>1</v>
      </c>
    </row>
    <row r="90" customFormat="false" ht="15" hidden="false" customHeight="false" outlineLevel="0" collapsed="false">
      <c r="A90" s="22" t="n">
        <v>46308</v>
      </c>
      <c r="B90" s="18" t="s">
        <v>135</v>
      </c>
      <c r="C90" s="18" t="s">
        <v>24</v>
      </c>
      <c r="D90" s="18" t="s">
        <v>159</v>
      </c>
      <c r="E90" s="18" t="s">
        <v>163</v>
      </c>
      <c r="F90" s="17" t="str">
        <f aca="false">IFERROR(INDEX(Colleges!$B:$B,MATCH(B90,Colleges!$A:$A,0)),"Unknown ID")</f>
        <v>Hillside College of Commerce</v>
      </c>
      <c r="G90" s="17" t="n">
        <f aca="false">IF(OR(E90="Interested",E90="Shared with students",E90="Follow-up requested",E90="Queries resolved",E90="Registration help"),1,0)</f>
        <v>1</v>
      </c>
    </row>
    <row r="91" customFormat="false" ht="15" hidden="false" customHeight="false" outlineLevel="0" collapsed="false">
      <c r="A91" s="22" t="n">
        <v>46308</v>
      </c>
      <c r="B91" s="18" t="s">
        <v>100</v>
      </c>
      <c r="C91" s="18" t="s">
        <v>28</v>
      </c>
      <c r="D91" s="18" t="s">
        <v>155</v>
      </c>
      <c r="E91" s="18" t="s">
        <v>42</v>
      </c>
      <c r="F91" s="20" t="str">
        <f aca="false">IFERROR(INDEX(Colleges!$B:$B,MATCH(B91,Colleges!$A:$A,0)),"Unknown ID")</f>
        <v>Bluebell School of Management</v>
      </c>
      <c r="G91" s="20" t="n">
        <f aca="false">IF(OR(E91="Interested",E91="Shared with students",E91="Follow-up requested",E91="Queries resolved",E91="Registration help"),1,0)</f>
        <v>1</v>
      </c>
    </row>
    <row r="92" customFormat="false" ht="15" hidden="false" customHeight="false" outlineLevel="0" collapsed="false">
      <c r="A92" s="22" t="n">
        <v>46308</v>
      </c>
      <c r="B92" s="18" t="s">
        <v>91</v>
      </c>
      <c r="C92" s="18" t="s">
        <v>28</v>
      </c>
      <c r="D92" s="18" t="s">
        <v>155</v>
      </c>
      <c r="E92" s="18" t="s">
        <v>156</v>
      </c>
      <c r="F92" s="17" t="str">
        <f aca="false">IFERROR(INDEX(Colleges!$B:$B,MATCH(B92,Colleges!$A:$A,0)),"Unknown ID")</f>
        <v>Pinecrest Institute of Technology</v>
      </c>
      <c r="G92" s="17" t="n">
        <f aca="false">IF(OR(E92="Interested",E92="Shared with students",E92="Follow-up requested",E92="Queries resolved",E92="Registration help"),1,0)</f>
        <v>0</v>
      </c>
    </row>
    <row r="93" customFormat="false" ht="15" hidden="false" customHeight="false" outlineLevel="0" collapsed="false">
      <c r="A93" s="22" t="n">
        <v>46308</v>
      </c>
      <c r="B93" s="18" t="s">
        <v>129</v>
      </c>
      <c r="C93" s="18" t="s">
        <v>28</v>
      </c>
      <c r="D93" s="18" t="s">
        <v>155</v>
      </c>
      <c r="E93" s="18" t="s">
        <v>158</v>
      </c>
      <c r="F93" s="20" t="str">
        <f aca="false">IFERROR(INDEX(Colleges!$B:$B,MATCH(B93,Colleges!$A:$A,0)),"Unknown ID")</f>
        <v>Fairmont School of Management</v>
      </c>
      <c r="G93" s="20" t="n">
        <f aca="false">IF(OR(E93="Interested",E93="Shared with students",E93="Follow-up requested",E93="Queries resolved",E93="Registration help"),1,0)</f>
        <v>1</v>
      </c>
    </row>
    <row r="94" customFormat="false" ht="15" hidden="false" customHeight="false" outlineLevel="0" collapsed="false">
      <c r="A94" s="22" t="n">
        <v>46308</v>
      </c>
      <c r="B94" s="18" t="s">
        <v>138</v>
      </c>
      <c r="C94" s="18" t="s">
        <v>26</v>
      </c>
      <c r="D94" s="18" t="s">
        <v>159</v>
      </c>
      <c r="E94" s="18" t="s">
        <v>163</v>
      </c>
      <c r="F94" s="17" t="str">
        <f aca="false">IFERROR(INDEX(Colleges!$B:$B,MATCH(B94,Colleges!$A:$A,0)),"Unknown ID")</f>
        <v>Ivory College of Commerce</v>
      </c>
      <c r="G94" s="17" t="n">
        <f aca="false">IF(OR(E94="Interested",E94="Shared with students",E94="Follow-up requested",E94="Queries resolved",E94="Registration help"),1,0)</f>
        <v>1</v>
      </c>
    </row>
    <row r="95" customFormat="false" ht="15" hidden="false" customHeight="false" outlineLevel="0" collapsed="false">
      <c r="A95" s="22" t="n">
        <v>46309</v>
      </c>
      <c r="B95" s="18" t="s">
        <v>138</v>
      </c>
      <c r="C95" s="18" t="s">
        <v>24</v>
      </c>
      <c r="D95" s="18" t="s">
        <v>155</v>
      </c>
      <c r="E95" s="18" t="s">
        <v>47</v>
      </c>
      <c r="F95" s="20" t="str">
        <f aca="false">IFERROR(INDEX(Colleges!$B:$B,MATCH(B95,Colleges!$A:$A,0)),"Unknown ID")</f>
        <v>Ivory College of Commerce</v>
      </c>
      <c r="G95" s="20" t="n">
        <f aca="false">IF(OR(E95="Interested",E95="Shared with students",E95="Follow-up requested",E95="Queries resolved",E95="Registration help"),1,0)</f>
        <v>0</v>
      </c>
    </row>
    <row r="96" customFormat="false" ht="15" hidden="false" customHeight="false" outlineLevel="0" collapsed="false">
      <c r="A96" s="22" t="n">
        <v>46309</v>
      </c>
      <c r="B96" s="18" t="s">
        <v>129</v>
      </c>
      <c r="C96" s="18" t="s">
        <v>26</v>
      </c>
      <c r="D96" s="18" t="s">
        <v>155</v>
      </c>
      <c r="E96" s="18" t="s">
        <v>156</v>
      </c>
      <c r="F96" s="17" t="str">
        <f aca="false">IFERROR(INDEX(Colleges!$B:$B,MATCH(B96,Colleges!$A:$A,0)),"Unknown ID")</f>
        <v>Fairmont School of Management</v>
      </c>
      <c r="G96" s="17" t="n">
        <f aca="false">IF(OR(E96="Interested",E96="Shared with students",E96="Follow-up requested",E96="Queries resolved",E96="Registration help"),1,0)</f>
        <v>0</v>
      </c>
    </row>
    <row r="97" customFormat="false" ht="15" hidden="false" customHeight="false" outlineLevel="0" collapsed="false">
      <c r="A97" s="22" t="n">
        <v>46309</v>
      </c>
      <c r="B97" s="18" t="s">
        <v>61</v>
      </c>
      <c r="C97" s="18" t="s">
        <v>24</v>
      </c>
      <c r="D97" s="18" t="s">
        <v>155</v>
      </c>
      <c r="E97" s="18" t="s">
        <v>162</v>
      </c>
      <c r="F97" s="20" t="str">
        <f aca="false">IFERROR(INDEX(Colleges!$B:$B,MATCH(B97,Colleges!$A:$A,0)),"Unknown ID")</f>
        <v>Northgate College of Arts &amp; Science</v>
      </c>
      <c r="G97" s="20" t="n">
        <f aca="false">IF(OR(E97="Interested",E97="Shared with students",E97="Follow-up requested",E97="Queries resolved",E97="Registration help"),1,0)</f>
        <v>1</v>
      </c>
    </row>
    <row r="98" customFormat="false" ht="15" hidden="false" customHeight="false" outlineLevel="0" collapsed="false">
      <c r="A98" s="22" t="n">
        <v>46309</v>
      </c>
      <c r="B98" s="18" t="s">
        <v>100</v>
      </c>
      <c r="C98" s="18" t="s">
        <v>28</v>
      </c>
      <c r="D98" s="18" t="s">
        <v>155</v>
      </c>
      <c r="E98" s="18" t="s">
        <v>158</v>
      </c>
      <c r="F98" s="17" t="str">
        <f aca="false">IFERROR(INDEX(Colleges!$B:$B,MATCH(B98,Colleges!$A:$A,0)),"Unknown ID")</f>
        <v>Bluebell School of Management</v>
      </c>
      <c r="G98" s="17" t="n">
        <f aca="false">IF(OR(E98="Interested",E98="Shared with students",E98="Follow-up requested",E98="Queries resolved",E98="Registration help"),1,0)</f>
        <v>1</v>
      </c>
    </row>
    <row r="99" customFormat="false" ht="15" hidden="false" customHeight="false" outlineLevel="0" collapsed="false">
      <c r="A99" s="22" t="n">
        <v>46309</v>
      </c>
      <c r="B99" s="18" t="s">
        <v>123</v>
      </c>
      <c r="C99" s="18" t="s">
        <v>26</v>
      </c>
      <c r="D99" s="18" t="s">
        <v>155</v>
      </c>
      <c r="E99" s="18" t="s">
        <v>157</v>
      </c>
      <c r="F99" s="20" t="str">
        <f aca="false">IFERROR(INDEX(Colleges!$B:$B,MATCH(B99,Colleges!$A:$A,0)),"Unknown ID")</f>
        <v>Redwood Institute of Technology</v>
      </c>
      <c r="G99" s="20" t="n">
        <f aca="false">IF(OR(E99="Interested",E99="Shared with students",E99="Follow-up requested",E99="Queries resolved",E99="Registration help"),1,0)</f>
        <v>0</v>
      </c>
    </row>
    <row r="100" customFormat="false" ht="15" hidden="false" customHeight="false" outlineLevel="0" collapsed="false">
      <c r="A100" s="22" t="n">
        <v>46309</v>
      </c>
      <c r="B100" s="18" t="s">
        <v>106</v>
      </c>
      <c r="C100" s="18" t="s">
        <v>28</v>
      </c>
      <c r="D100" s="18" t="s">
        <v>155</v>
      </c>
      <c r="E100" s="18" t="s">
        <v>42</v>
      </c>
      <c r="F100" s="17" t="str">
        <f aca="false">IFERROR(INDEX(Colleges!$B:$B,MATCH(B100,Colleges!$A:$A,0)),"Unknown ID")</f>
        <v>Kingsway Institute of Technology</v>
      </c>
      <c r="G100" s="17" t="n">
        <f aca="false">IF(OR(E100="Interested",E100="Shared with students",E100="Follow-up requested",E100="Queries resolved",E100="Registration help"),1,0)</f>
        <v>1</v>
      </c>
    </row>
    <row r="101" customFormat="false" ht="15" hidden="false" customHeight="false" outlineLevel="0" collapsed="false">
      <c r="A101" s="22" t="n">
        <v>46309</v>
      </c>
      <c r="B101" s="18" t="s">
        <v>114</v>
      </c>
      <c r="C101" s="18" t="s">
        <v>24</v>
      </c>
      <c r="D101" s="18" t="s">
        <v>155</v>
      </c>
      <c r="E101" s="18" t="s">
        <v>158</v>
      </c>
      <c r="F101" s="20" t="str">
        <f aca="false">IFERROR(INDEX(Colleges!$B:$B,MATCH(B101,Colleges!$A:$A,0)),"Unknown ID")</f>
        <v>Highland College of Commerce</v>
      </c>
      <c r="G101" s="20" t="n">
        <f aca="false">IF(OR(E101="Interested",E101="Shared with students",E101="Follow-up requested",E101="Queries resolved",E101="Registration help"),1,0)</f>
        <v>1</v>
      </c>
    </row>
    <row r="102" customFormat="false" ht="15" hidden="false" customHeight="false" outlineLevel="0" collapsed="false">
      <c r="A102" s="22" t="n">
        <v>46309</v>
      </c>
      <c r="B102" s="18" t="s">
        <v>108</v>
      </c>
      <c r="C102" s="18" t="s">
        <v>24</v>
      </c>
      <c r="D102" s="18" t="s">
        <v>155</v>
      </c>
      <c r="E102" s="18" t="s">
        <v>157</v>
      </c>
      <c r="F102" s="17" t="str">
        <f aca="false">IFERROR(INDEX(Colleges!$B:$B,MATCH(B102,Colleges!$A:$A,0)),"Unknown ID")</f>
        <v>Oakridge College of Commerce</v>
      </c>
      <c r="G102" s="17" t="n">
        <f aca="false">IF(OR(E102="Interested",E102="Shared with students",E102="Follow-up requested",E102="Queries resolved",E102="Registration help"),1,0)</f>
        <v>0</v>
      </c>
    </row>
    <row r="103" customFormat="false" ht="15" hidden="false" customHeight="false" outlineLevel="0" collapsed="false">
      <c r="A103" s="22" t="n">
        <v>46309</v>
      </c>
      <c r="B103" s="18" t="s">
        <v>132</v>
      </c>
      <c r="C103" s="18" t="s">
        <v>28</v>
      </c>
      <c r="D103" s="18" t="s">
        <v>155</v>
      </c>
      <c r="E103" s="18" t="s">
        <v>158</v>
      </c>
      <c r="F103" s="20" t="str">
        <f aca="false">IFERROR(INDEX(Colleges!$B:$B,MATCH(B103,Colleges!$A:$A,0)),"Unknown ID")</f>
        <v>Goldcrest College of Commerce</v>
      </c>
      <c r="G103" s="20" t="n">
        <f aca="false">IF(OR(E103="Interested",E103="Shared with students",E103="Follow-up requested",E103="Queries resolved",E103="Registration help"),1,0)</f>
        <v>1</v>
      </c>
    </row>
    <row r="104" customFormat="false" ht="15" hidden="false" customHeight="false" outlineLevel="0" collapsed="false">
      <c r="A104" s="22" t="n">
        <v>46309</v>
      </c>
      <c r="B104" s="18" t="s">
        <v>106</v>
      </c>
      <c r="C104" s="18" t="s">
        <v>26</v>
      </c>
      <c r="D104" s="18" t="s">
        <v>155</v>
      </c>
      <c r="E104" s="18" t="s">
        <v>42</v>
      </c>
      <c r="F104" s="17" t="str">
        <f aca="false">IFERROR(INDEX(Colleges!$B:$B,MATCH(B104,Colleges!$A:$A,0)),"Unknown ID")</f>
        <v>Kingsway Institute of Technology</v>
      </c>
      <c r="G104" s="17" t="n">
        <f aca="false">IF(OR(E104="Interested",E104="Shared with students",E104="Follow-up requested",E104="Queries resolved",E104="Registration help"),1,0)</f>
        <v>1</v>
      </c>
    </row>
  </sheetData>
  <autoFilter ref="A1:G104"/>
  <dataValidations count="2">
    <dataValidation allowBlank="true" errorStyle="stop" operator="between" showDropDown="false" showErrorMessage="false" showInputMessage="false" sqref="C2:C604" type="list">
      <formula1>"Call,Email,WhatsApp"</formula1>
      <formula2>0</formula2>
    </dataValidation>
    <dataValidation allowBlank="true" errorStyle="stop" operator="between" showDropDown="false" showErrorMessage="false" showInputMessage="false" sqref="D2:D604" type="list">
      <formula1>"TPO,Student group"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9"/>
    <col collapsed="false" customWidth="true" hidden="false" outlineLevel="0" max="4" min="4" style="0" width="11"/>
    <col collapsed="false" customWidth="true" hidden="false" outlineLevel="0" max="5" min="5" style="0" width="12"/>
    <col collapsed="false" customWidth="true" hidden="false" outlineLevel="0" max="6" min="6" style="0" width="13"/>
    <col collapsed="false" customWidth="true" hidden="false" outlineLevel="0" max="7" min="7" style="0" width="12"/>
    <col collapsed="false" customWidth="true" hidden="false" outlineLevel="0" max="9" min="8" style="0" width="14"/>
  </cols>
  <sheetData>
    <row r="1" customFormat="false" ht="30" hidden="false" customHeight="true" outlineLevel="0" collapsed="false">
      <c r="A1" s="16" t="s">
        <v>152</v>
      </c>
      <c r="B1" s="16" t="s">
        <v>164</v>
      </c>
      <c r="C1" s="16" t="s">
        <v>165</v>
      </c>
      <c r="D1" s="16" t="s">
        <v>28</v>
      </c>
      <c r="E1" s="16" t="s">
        <v>166</v>
      </c>
      <c r="F1" s="16" t="s">
        <v>167</v>
      </c>
      <c r="G1" s="16" t="s">
        <v>21</v>
      </c>
      <c r="H1" s="16" t="s">
        <v>168</v>
      </c>
      <c r="I1" s="16" t="s">
        <v>169</v>
      </c>
    </row>
    <row r="2" customFormat="false" ht="15" hidden="false" customHeight="false" outlineLevel="0" collapsed="false">
      <c r="A2" s="19" t="n">
        <v>46296</v>
      </c>
      <c r="B2" s="17" t="n">
        <f aca="false">COUNTIFS('Outreach Log'!$A:$A,A2,'Outreach Log'!$C:$C,"Call")</f>
        <v>3</v>
      </c>
      <c r="C2" s="17" t="n">
        <f aca="false">COUNTIFS('Outreach Log'!$A:$A,A2,'Outreach Log'!$C:$C,"Email")</f>
        <v>2</v>
      </c>
      <c r="D2" s="17" t="n">
        <f aca="false">COUNTIFS('Outreach Log'!$A:$A,A2,'Outreach Log'!$C:$C,"WhatsApp")</f>
        <v>4</v>
      </c>
      <c r="E2" s="17" t="n">
        <f aca="false">SUM(B2:D2)</f>
        <v>9</v>
      </c>
      <c r="F2" s="17" t="n">
        <f aca="false">SUMIFS('Outreach Log'!$G:$G,'Outreach Log'!$A:$A,A2)</f>
        <v>2</v>
      </c>
      <c r="G2" s="23" t="n">
        <f aca="false">IF(E2=0,0,F2/E2)</f>
        <v>0.222222222222222</v>
      </c>
      <c r="H2" s="18" t="n">
        <v>63</v>
      </c>
      <c r="I2" s="18" t="n">
        <v>23</v>
      </c>
    </row>
    <row r="3" customFormat="false" ht="15" hidden="false" customHeight="false" outlineLevel="0" collapsed="false">
      <c r="A3" s="21" t="n">
        <v>46297</v>
      </c>
      <c r="B3" s="20" t="n">
        <f aca="false">COUNTIFS('Outreach Log'!$A:$A,A3,'Outreach Log'!$C:$C,"Call")</f>
        <v>5</v>
      </c>
      <c r="C3" s="20" t="n">
        <f aca="false">COUNTIFS('Outreach Log'!$A:$A,A3,'Outreach Log'!$C:$C,"Email")</f>
        <v>2</v>
      </c>
      <c r="D3" s="20" t="n">
        <f aca="false">COUNTIFS('Outreach Log'!$A:$A,A3,'Outreach Log'!$C:$C,"WhatsApp")</f>
        <v>3</v>
      </c>
      <c r="E3" s="20" t="n">
        <f aca="false">SUM(B3:D3)</f>
        <v>10</v>
      </c>
      <c r="F3" s="20" t="n">
        <f aca="false">SUMIFS('Outreach Log'!$G:$G,'Outreach Log'!$A:$A,A3)</f>
        <v>3</v>
      </c>
      <c r="G3" s="24" t="n">
        <f aca="false">IF(E3=0,0,F3/E3)</f>
        <v>0.3</v>
      </c>
      <c r="H3" s="18" t="n">
        <v>44</v>
      </c>
      <c r="I3" s="18" t="n">
        <v>14</v>
      </c>
    </row>
    <row r="4" customFormat="false" ht="15" hidden="false" customHeight="false" outlineLevel="0" collapsed="false">
      <c r="A4" s="19" t="n">
        <v>46298</v>
      </c>
      <c r="B4" s="17" t="n">
        <f aca="false">COUNTIFS('Outreach Log'!$A:$A,A4,'Outreach Log'!$C:$C,"Call")</f>
        <v>3</v>
      </c>
      <c r="C4" s="17" t="n">
        <f aca="false">COUNTIFS('Outreach Log'!$A:$A,A4,'Outreach Log'!$C:$C,"Email")</f>
        <v>2</v>
      </c>
      <c r="D4" s="17" t="n">
        <f aca="false">COUNTIFS('Outreach Log'!$A:$A,A4,'Outreach Log'!$C:$C,"WhatsApp")</f>
        <v>2</v>
      </c>
      <c r="E4" s="17" t="n">
        <f aca="false">SUM(B4:D4)</f>
        <v>7</v>
      </c>
      <c r="F4" s="17" t="n">
        <f aca="false">SUMIFS('Outreach Log'!$G:$G,'Outreach Log'!$A:$A,A4)</f>
        <v>4</v>
      </c>
      <c r="G4" s="23" t="n">
        <f aca="false">IF(E4=0,0,F4/E4)</f>
        <v>0.571428571428571</v>
      </c>
      <c r="H4" s="18" t="n">
        <v>35</v>
      </c>
      <c r="I4" s="18" t="n">
        <v>15</v>
      </c>
    </row>
    <row r="5" customFormat="false" ht="15" hidden="false" customHeight="false" outlineLevel="0" collapsed="false">
      <c r="A5" s="21" t="n">
        <v>46299</v>
      </c>
      <c r="B5" s="20" t="n">
        <f aca="false">COUNTIFS('Outreach Log'!$A:$A,A5,'Outreach Log'!$C:$C,"Call")</f>
        <v>0</v>
      </c>
      <c r="C5" s="20" t="n">
        <f aca="false">COUNTIFS('Outreach Log'!$A:$A,A5,'Outreach Log'!$C:$C,"Email")</f>
        <v>0</v>
      </c>
      <c r="D5" s="20" t="n">
        <f aca="false">COUNTIFS('Outreach Log'!$A:$A,A5,'Outreach Log'!$C:$C,"WhatsApp")</f>
        <v>0</v>
      </c>
      <c r="E5" s="20" t="n">
        <f aca="false">SUM(B5:D5)</f>
        <v>0</v>
      </c>
      <c r="F5" s="20" t="n">
        <f aca="false">SUMIFS('Outreach Log'!$G:$G,'Outreach Log'!$A:$A,A5)</f>
        <v>0</v>
      </c>
      <c r="G5" s="24" t="n">
        <f aca="false">IF(E5=0,0,F5/E5)</f>
        <v>0</v>
      </c>
      <c r="H5" s="18" t="n">
        <v>0</v>
      </c>
      <c r="I5" s="18" t="n">
        <v>0</v>
      </c>
    </row>
    <row r="6" customFormat="false" ht="15" hidden="false" customHeight="false" outlineLevel="0" collapsed="false">
      <c r="A6" s="19" t="n">
        <v>46300</v>
      </c>
      <c r="B6" s="17" t="n">
        <f aca="false">COUNTIFS('Outreach Log'!$A:$A,A6,'Outreach Log'!$C:$C,"Call")</f>
        <v>3</v>
      </c>
      <c r="C6" s="17" t="n">
        <f aca="false">COUNTIFS('Outreach Log'!$A:$A,A6,'Outreach Log'!$C:$C,"Email")</f>
        <v>1</v>
      </c>
      <c r="D6" s="17" t="n">
        <f aca="false">COUNTIFS('Outreach Log'!$A:$A,A6,'Outreach Log'!$C:$C,"WhatsApp")</f>
        <v>3</v>
      </c>
      <c r="E6" s="17" t="n">
        <f aca="false">SUM(B6:D6)</f>
        <v>7</v>
      </c>
      <c r="F6" s="17" t="n">
        <f aca="false">SUMIFS('Outreach Log'!$G:$G,'Outreach Log'!$A:$A,A6)</f>
        <v>2</v>
      </c>
      <c r="G6" s="23" t="n">
        <f aca="false">IF(E6=0,0,F6/E6)</f>
        <v>0.285714285714286</v>
      </c>
      <c r="H6" s="18" t="n">
        <v>49</v>
      </c>
      <c r="I6" s="18" t="n">
        <v>17</v>
      </c>
    </row>
    <row r="7" customFormat="false" ht="15" hidden="false" customHeight="false" outlineLevel="0" collapsed="false">
      <c r="A7" s="21" t="n">
        <v>46301</v>
      </c>
      <c r="B7" s="20" t="n">
        <f aca="false">COUNTIFS('Outreach Log'!$A:$A,A7,'Outreach Log'!$C:$C,"Call")</f>
        <v>3</v>
      </c>
      <c r="C7" s="20" t="n">
        <f aca="false">COUNTIFS('Outreach Log'!$A:$A,A7,'Outreach Log'!$C:$C,"Email")</f>
        <v>2</v>
      </c>
      <c r="D7" s="20" t="n">
        <f aca="false">COUNTIFS('Outreach Log'!$A:$A,A7,'Outreach Log'!$C:$C,"WhatsApp")</f>
        <v>1</v>
      </c>
      <c r="E7" s="20" t="n">
        <f aca="false">SUM(B7:D7)</f>
        <v>6</v>
      </c>
      <c r="F7" s="20" t="n">
        <f aca="false">SUMIFS('Outreach Log'!$G:$G,'Outreach Log'!$A:$A,A7)</f>
        <v>4</v>
      </c>
      <c r="G7" s="24" t="n">
        <f aca="false">IF(E7=0,0,F7/E7)</f>
        <v>0.666666666666667</v>
      </c>
      <c r="H7" s="18" t="n">
        <v>39</v>
      </c>
      <c r="I7" s="18" t="n">
        <v>14</v>
      </c>
    </row>
    <row r="8" customFormat="false" ht="15" hidden="false" customHeight="false" outlineLevel="0" collapsed="false">
      <c r="A8" s="19" t="n">
        <v>46302</v>
      </c>
      <c r="B8" s="17" t="n">
        <f aca="false">COUNTIFS('Outreach Log'!$A:$A,A8,'Outreach Log'!$C:$C,"Call")</f>
        <v>4</v>
      </c>
      <c r="C8" s="17" t="n">
        <f aca="false">COUNTIFS('Outreach Log'!$A:$A,A8,'Outreach Log'!$C:$C,"Email")</f>
        <v>2</v>
      </c>
      <c r="D8" s="17" t="n">
        <f aca="false">COUNTIFS('Outreach Log'!$A:$A,A8,'Outreach Log'!$C:$C,"WhatsApp")</f>
        <v>3</v>
      </c>
      <c r="E8" s="17" t="n">
        <f aca="false">SUM(B8:D8)</f>
        <v>9</v>
      </c>
      <c r="F8" s="17" t="n">
        <f aca="false">SUMIFS('Outreach Log'!$G:$G,'Outreach Log'!$A:$A,A8)</f>
        <v>5</v>
      </c>
      <c r="G8" s="23" t="n">
        <f aca="false">IF(E8=0,0,F8/E8)</f>
        <v>0.555555555555556</v>
      </c>
      <c r="H8" s="18" t="n">
        <v>94</v>
      </c>
      <c r="I8" s="18" t="n">
        <v>39</v>
      </c>
    </row>
    <row r="9" customFormat="false" ht="15" hidden="false" customHeight="false" outlineLevel="0" collapsed="false">
      <c r="A9" s="21" t="n">
        <v>46303</v>
      </c>
      <c r="B9" s="20" t="n">
        <f aca="false">COUNTIFS('Outreach Log'!$A:$A,A9,'Outreach Log'!$C:$C,"Call")</f>
        <v>3</v>
      </c>
      <c r="C9" s="20" t="n">
        <f aca="false">COUNTIFS('Outreach Log'!$A:$A,A9,'Outreach Log'!$C:$C,"Email")</f>
        <v>1</v>
      </c>
      <c r="D9" s="20" t="n">
        <f aca="false">COUNTIFS('Outreach Log'!$A:$A,A9,'Outreach Log'!$C:$C,"WhatsApp")</f>
        <v>3</v>
      </c>
      <c r="E9" s="20" t="n">
        <f aca="false">SUM(B9:D9)</f>
        <v>7</v>
      </c>
      <c r="F9" s="20" t="n">
        <f aca="false">SUMIFS('Outreach Log'!$G:$G,'Outreach Log'!$A:$A,A9)</f>
        <v>5</v>
      </c>
      <c r="G9" s="24" t="n">
        <f aca="false">IF(E9=0,0,F9/E9)</f>
        <v>0.714285714285714</v>
      </c>
      <c r="H9" s="18" t="n">
        <v>66</v>
      </c>
      <c r="I9" s="18" t="n">
        <v>32</v>
      </c>
    </row>
    <row r="10" customFormat="false" ht="15" hidden="false" customHeight="false" outlineLevel="0" collapsed="false">
      <c r="A10" s="19" t="n">
        <v>46304</v>
      </c>
      <c r="B10" s="17" t="n">
        <f aca="false">COUNTIFS('Outreach Log'!$A:$A,A10,'Outreach Log'!$C:$C,"Call")</f>
        <v>3</v>
      </c>
      <c r="C10" s="17" t="n">
        <f aca="false">COUNTIFS('Outreach Log'!$A:$A,A10,'Outreach Log'!$C:$C,"Email")</f>
        <v>1</v>
      </c>
      <c r="D10" s="17" t="n">
        <f aca="false">COUNTIFS('Outreach Log'!$A:$A,A10,'Outreach Log'!$C:$C,"WhatsApp")</f>
        <v>5</v>
      </c>
      <c r="E10" s="17" t="n">
        <f aca="false">SUM(B10:D10)</f>
        <v>9</v>
      </c>
      <c r="F10" s="17" t="n">
        <f aca="false">SUMIFS('Outreach Log'!$G:$G,'Outreach Log'!$A:$A,A10)</f>
        <v>6</v>
      </c>
      <c r="G10" s="23" t="n">
        <f aca="false">IF(E10=0,0,F10/E10)</f>
        <v>0.666666666666667</v>
      </c>
      <c r="H10" s="18" t="n">
        <v>95</v>
      </c>
      <c r="I10" s="18" t="n">
        <v>33</v>
      </c>
    </row>
    <row r="11" customFormat="false" ht="15" hidden="false" customHeight="false" outlineLevel="0" collapsed="false">
      <c r="A11" s="21" t="n">
        <v>46305</v>
      </c>
      <c r="B11" s="20" t="n">
        <f aca="false">COUNTIFS('Outreach Log'!$A:$A,A11,'Outreach Log'!$C:$C,"Call")</f>
        <v>3</v>
      </c>
      <c r="C11" s="20" t="n">
        <f aca="false">COUNTIFS('Outreach Log'!$A:$A,A11,'Outreach Log'!$C:$C,"Email")</f>
        <v>5</v>
      </c>
      <c r="D11" s="20" t="n">
        <f aca="false">COUNTIFS('Outreach Log'!$A:$A,A11,'Outreach Log'!$C:$C,"WhatsApp")</f>
        <v>2</v>
      </c>
      <c r="E11" s="20" t="n">
        <f aca="false">SUM(B11:D11)</f>
        <v>10</v>
      </c>
      <c r="F11" s="20" t="n">
        <f aca="false">SUMIFS('Outreach Log'!$G:$G,'Outreach Log'!$A:$A,A11)</f>
        <v>6</v>
      </c>
      <c r="G11" s="24" t="n">
        <f aca="false">IF(E11=0,0,F11/E11)</f>
        <v>0.6</v>
      </c>
      <c r="H11" s="18" t="n">
        <v>54</v>
      </c>
      <c r="I11" s="18" t="n">
        <v>19</v>
      </c>
    </row>
    <row r="12" customFormat="false" ht="15" hidden="false" customHeight="false" outlineLevel="0" collapsed="false">
      <c r="A12" s="19" t="n">
        <v>46306</v>
      </c>
      <c r="B12" s="17" t="n">
        <f aca="false">COUNTIFS('Outreach Log'!$A:$A,A12,'Outreach Log'!$C:$C,"Call")</f>
        <v>0</v>
      </c>
      <c r="C12" s="17" t="n">
        <f aca="false">COUNTIFS('Outreach Log'!$A:$A,A12,'Outreach Log'!$C:$C,"Email")</f>
        <v>0</v>
      </c>
      <c r="D12" s="17" t="n">
        <f aca="false">COUNTIFS('Outreach Log'!$A:$A,A12,'Outreach Log'!$C:$C,"WhatsApp")</f>
        <v>0</v>
      </c>
      <c r="E12" s="17" t="n">
        <f aca="false">SUM(B12:D12)</f>
        <v>0</v>
      </c>
      <c r="F12" s="17" t="n">
        <f aca="false">SUMIFS('Outreach Log'!$G:$G,'Outreach Log'!$A:$A,A12)</f>
        <v>0</v>
      </c>
      <c r="G12" s="23" t="n">
        <f aca="false">IF(E12=0,0,F12/E12)</f>
        <v>0</v>
      </c>
      <c r="H12" s="18" t="n">
        <v>0</v>
      </c>
      <c r="I12" s="18" t="n">
        <v>0</v>
      </c>
    </row>
    <row r="13" customFormat="false" ht="15" hidden="false" customHeight="false" outlineLevel="0" collapsed="false">
      <c r="A13" s="21" t="n">
        <v>46307</v>
      </c>
      <c r="B13" s="20" t="n">
        <f aca="false">COUNTIFS('Outreach Log'!$A:$A,A13,'Outreach Log'!$C:$C,"Call")</f>
        <v>6</v>
      </c>
      <c r="C13" s="20" t="n">
        <f aca="false">COUNTIFS('Outreach Log'!$A:$A,A13,'Outreach Log'!$C:$C,"Email")</f>
        <v>2</v>
      </c>
      <c r="D13" s="20" t="n">
        <f aca="false">COUNTIFS('Outreach Log'!$A:$A,A13,'Outreach Log'!$C:$C,"WhatsApp")</f>
        <v>2</v>
      </c>
      <c r="E13" s="20" t="n">
        <f aca="false">SUM(B13:D13)</f>
        <v>10</v>
      </c>
      <c r="F13" s="20" t="n">
        <f aca="false">SUMIFS('Outreach Log'!$G:$G,'Outreach Log'!$A:$A,A13)</f>
        <v>4</v>
      </c>
      <c r="G13" s="24" t="n">
        <f aca="false">IF(E13=0,0,F13/E13)</f>
        <v>0.4</v>
      </c>
      <c r="H13" s="18" t="n">
        <v>101</v>
      </c>
      <c r="I13" s="18" t="n">
        <v>36</v>
      </c>
    </row>
    <row r="14" customFormat="false" ht="15" hidden="false" customHeight="false" outlineLevel="0" collapsed="false">
      <c r="A14" s="19" t="n">
        <v>46308</v>
      </c>
      <c r="B14" s="17" t="n">
        <f aca="false">COUNTIFS('Outreach Log'!$A:$A,A14,'Outreach Log'!$C:$C,"Call")</f>
        <v>3</v>
      </c>
      <c r="C14" s="17" t="n">
        <f aca="false">COUNTIFS('Outreach Log'!$A:$A,A14,'Outreach Log'!$C:$C,"Email")</f>
        <v>3</v>
      </c>
      <c r="D14" s="17" t="n">
        <f aca="false">COUNTIFS('Outreach Log'!$A:$A,A14,'Outreach Log'!$C:$C,"WhatsApp")</f>
        <v>3</v>
      </c>
      <c r="E14" s="17" t="n">
        <f aca="false">SUM(B14:D14)</f>
        <v>9</v>
      </c>
      <c r="F14" s="17" t="n">
        <f aca="false">SUMIFS('Outreach Log'!$G:$G,'Outreach Log'!$A:$A,A14)</f>
        <v>6</v>
      </c>
      <c r="G14" s="23" t="n">
        <f aca="false">IF(E14=0,0,F14/E14)</f>
        <v>0.666666666666667</v>
      </c>
      <c r="H14" s="18" t="n">
        <v>72</v>
      </c>
      <c r="I14" s="18" t="n">
        <v>25</v>
      </c>
    </row>
    <row r="15" customFormat="false" ht="15" hidden="false" customHeight="false" outlineLevel="0" collapsed="false">
      <c r="A15" s="21" t="n">
        <v>46309</v>
      </c>
      <c r="B15" s="20" t="n">
        <f aca="false">COUNTIFS('Outreach Log'!$A:$A,A15,'Outreach Log'!$C:$C,"Call")</f>
        <v>4</v>
      </c>
      <c r="C15" s="20" t="n">
        <f aca="false">COUNTIFS('Outreach Log'!$A:$A,A15,'Outreach Log'!$C:$C,"Email")</f>
        <v>3</v>
      </c>
      <c r="D15" s="20" t="n">
        <f aca="false">COUNTIFS('Outreach Log'!$A:$A,A15,'Outreach Log'!$C:$C,"WhatsApp")</f>
        <v>3</v>
      </c>
      <c r="E15" s="20" t="n">
        <f aca="false">SUM(B15:D15)</f>
        <v>10</v>
      </c>
      <c r="F15" s="20" t="n">
        <f aca="false">SUMIFS('Outreach Log'!$G:$G,'Outreach Log'!$A:$A,A15)</f>
        <v>6</v>
      </c>
      <c r="G15" s="24" t="n">
        <f aca="false">IF(E15=0,0,F15/E15)</f>
        <v>0.6</v>
      </c>
      <c r="H15" s="18" t="n">
        <v>84</v>
      </c>
      <c r="I15" s="18" t="n">
        <v>32</v>
      </c>
    </row>
    <row r="16" customFormat="false" ht="15" hidden="false" customHeight="false" outlineLevel="0" collapsed="false">
      <c r="A16" s="25" t="s">
        <v>170</v>
      </c>
      <c r="B16" s="26" t="n">
        <f aca="false">SUM(B2:B15)</f>
        <v>43</v>
      </c>
      <c r="C16" s="26" t="n">
        <f aca="false">SUM(C2:C15)</f>
        <v>26</v>
      </c>
      <c r="D16" s="26" t="n">
        <f aca="false">SUM(D2:D15)</f>
        <v>34</v>
      </c>
      <c r="E16" s="26" t="n">
        <f aca="false">SUM(E2:E15)</f>
        <v>103</v>
      </c>
      <c r="F16" s="26" t="n">
        <f aca="false">SUM(F2:F15)</f>
        <v>53</v>
      </c>
      <c r="G16" s="14" t="n">
        <f aca="false">IF(E16=0,0,F16/E16)</f>
        <v>0.514563106796117</v>
      </c>
      <c r="H16" s="26" t="n">
        <f aca="false">SUM(H2:H15)</f>
        <v>796</v>
      </c>
      <c r="I16" s="26" t="n">
        <f aca="false">SUM(I2:I15)</f>
        <v>299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5"/>
  </cols>
  <sheetData>
    <row r="1" customFormat="false" ht="30" hidden="false" customHeight="true" outlineLevel="0" collapsed="false">
      <c r="A1" s="16" t="s">
        <v>171</v>
      </c>
      <c r="B1" s="16" t="s">
        <v>172</v>
      </c>
    </row>
    <row r="2" customFormat="false" ht="225" hidden="false" customHeight="true" outlineLevel="0" collapsed="false">
      <c r="A2" s="27" t="s">
        <v>173</v>
      </c>
      <c r="B2" s="28" t="s">
        <v>174</v>
      </c>
    </row>
    <row r="3" customFormat="false" ht="105" hidden="false" customHeight="true" outlineLevel="0" collapsed="false">
      <c r="A3" s="27" t="s">
        <v>175</v>
      </c>
      <c r="B3" s="28" t="s">
        <v>176</v>
      </c>
    </row>
    <row r="4" customFormat="false" ht="45" hidden="false" customHeight="true" outlineLevel="0" collapsed="false">
      <c r="A4" s="27" t="s">
        <v>177</v>
      </c>
      <c r="B4" s="28" t="s">
        <v>178</v>
      </c>
    </row>
    <row r="5" customFormat="false" ht="45" hidden="false" customHeight="true" outlineLevel="0" collapsed="false">
      <c r="A5" s="27" t="s">
        <v>179</v>
      </c>
      <c r="B5" s="28" t="s">
        <v>180</v>
      </c>
    </row>
    <row r="6" customFormat="false" ht="45" hidden="false" customHeight="true" outlineLevel="0" collapsed="false">
      <c r="A6" s="27" t="s">
        <v>181</v>
      </c>
      <c r="B6" s="28" t="s">
        <v>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2026-10-16T13:48:09Z</dcterms:created>
  <dc:creator>openpyxl</dc:creator>
  <dc:description/>
  <dc:language>en-US</dc:language>
  <cp:lastModifiedBy/>
  <dcterms:modified xsi:type="dcterms:W3CDTF">2026-10-16T19:18:11Z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